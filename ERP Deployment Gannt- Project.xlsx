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ijoresources-my.sharepoint.com/personal/jgvillanueva_hijoresources_com/Documents/Masteral Files/Personal/DMS - MONTEVISTA/"/>
    </mc:Choice>
  </mc:AlternateContent>
  <xr:revisionPtr revIDLastSave="893" documentId="13_ncr:1_{B922D91C-F4A6-435B-9B3C-35B8DFFDCEDF}" xr6:coauthVersionLast="47" xr6:coauthVersionMax="47" xr10:uidLastSave="{8230C8EC-965B-44FE-8704-A0A4DDD90A64}"/>
  <bookViews>
    <workbookView xWindow="-108" yWindow="-108" windowWidth="23256" windowHeight="12456" xr2:uid="{98364537-1C02-439A-B2FD-4F5D5C7BB6D2}"/>
  </bookViews>
  <sheets>
    <sheet name="HGI Project Monitoring - POS" sheetId="1" r:id="rId1"/>
    <sheet name="Backlogs" sheetId="4" r:id="rId2"/>
    <sheet name="User Logs" sheetId="2" r:id="rId3"/>
    <sheet name="Risk Registe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50" i="1"/>
  <c r="D52" i="1" s="1"/>
  <c r="E49" i="1"/>
  <c r="E48" i="1"/>
  <c r="E47" i="1"/>
  <c r="E46" i="1"/>
  <c r="E45" i="1"/>
  <c r="E44" i="1"/>
  <c r="E43" i="1"/>
  <c r="E42" i="1"/>
  <c r="G3" i="1"/>
  <c r="G2" i="1"/>
  <c r="G4" i="1" l="1"/>
  <c r="F44" i="1"/>
  <c r="D11" i="1" l="1"/>
  <c r="E11" i="1" s="1"/>
  <c r="D12" i="1" s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C4" i="1"/>
  <c r="C5" i="1" s="1"/>
  <c r="E12" i="1" l="1"/>
  <c r="D17" i="1" s="1"/>
  <c r="E17" i="1" s="1"/>
  <c r="D18" i="1" s="1"/>
  <c r="E18" i="1" s="1"/>
  <c r="D20" i="1" s="1"/>
  <c r="E20" i="1" s="1"/>
  <c r="D21" i="1" s="1"/>
  <c r="E21" i="1" s="1"/>
  <c r="D23" i="1" s="1"/>
  <c r="E23" i="1" s="1"/>
  <c r="F11" i="1"/>
  <c r="F12" i="1" l="1"/>
  <c r="F17" i="1" l="1"/>
  <c r="F20" i="1" l="1"/>
  <c r="F21" i="1" l="1"/>
  <c r="F18" i="1"/>
  <c r="D24" i="1" l="1"/>
  <c r="E24" i="1" s="1"/>
  <c r="D25" i="1" l="1"/>
  <c r="E25" i="1" s="1"/>
  <c r="F23" i="1"/>
  <c r="F24" i="1" l="1"/>
  <c r="D27" i="1"/>
  <c r="E27" i="1" s="1"/>
  <c r="F25" i="1" l="1"/>
  <c r="D28" i="1" l="1"/>
  <c r="E28" i="1" s="1"/>
  <c r="D30" i="1" l="1"/>
  <c r="E30" i="1" s="1"/>
  <c r="F27" i="1"/>
  <c r="F28" i="1" l="1"/>
  <c r="D31" i="1"/>
  <c r="E31" i="1" l="1"/>
  <c r="D33" i="1" s="1"/>
  <c r="E33" i="1" s="1"/>
  <c r="F30" i="1"/>
  <c r="F31" i="1" l="1"/>
  <c r="D34" i="1"/>
  <c r="E34" i="1" s="1"/>
  <c r="F33" i="1" l="1"/>
  <c r="D35" i="1"/>
  <c r="E35" i="1" s="1"/>
  <c r="F34" i="1" l="1"/>
  <c r="D37" i="1"/>
  <c r="E37" i="1" s="1"/>
  <c r="D39" i="1" l="1"/>
  <c r="E39" i="1" s="1"/>
  <c r="F35" i="1"/>
  <c r="D40" i="1" l="1"/>
  <c r="E40" i="1" s="1"/>
  <c r="F37" i="1"/>
  <c r="F43" i="1" l="1"/>
  <c r="F40" i="1"/>
  <c r="F39" i="1"/>
  <c r="F42" i="1"/>
  <c r="F49" i="1" l="1"/>
  <c r="E53" i="1"/>
  <c r="E52" i="1"/>
  <c r="F52" i="1" s="1"/>
  <c r="F50" i="1"/>
  <c r="F46" i="1"/>
  <c r="F45" i="1"/>
  <c r="F48" i="1"/>
  <c r="F53" i="1" l="1"/>
  <c r="E55" i="1"/>
  <c r="E54" i="1"/>
  <c r="F47" i="1"/>
  <c r="F55" i="1" l="1"/>
  <c r="E57" i="1"/>
  <c r="F54" i="1"/>
  <c r="E56" i="1"/>
  <c r="F56" i="1" l="1"/>
  <c r="E58" i="1"/>
  <c r="F57" i="1"/>
  <c r="E59" i="1" l="1"/>
  <c r="F59" i="1" s="1"/>
  <c r="F58" i="1"/>
  <c r="E60" i="1" l="1"/>
  <c r="E62" i="1" l="1"/>
  <c r="F62" i="1" s="1"/>
  <c r="F60" i="1"/>
  <c r="D65" i="1" l="1"/>
  <c r="E65" i="1" s="1"/>
  <c r="F65" i="1" s="1"/>
  <c r="F63" i="1" l="1"/>
</calcChain>
</file>

<file path=xl/sharedStrings.xml><?xml version="1.0" encoding="utf-8"?>
<sst xmlns="http://schemas.openxmlformats.org/spreadsheetml/2006/main" count="496" uniqueCount="198">
  <si>
    <t>Project Name:</t>
  </si>
  <si>
    <t>Project Progress (Dev)</t>
  </si>
  <si>
    <t>Project Start:</t>
  </si>
  <si>
    <t>Project Progress (Impl)</t>
  </si>
  <si>
    <t>Current Date:</t>
  </si>
  <si>
    <t>Total Progress</t>
  </si>
  <si>
    <t>Weeks in Progress:</t>
  </si>
  <si>
    <t>Task</t>
  </si>
  <si>
    <t>Assigned to</t>
  </si>
  <si>
    <t>Process Owners</t>
  </si>
  <si>
    <t>Start Date</t>
  </si>
  <si>
    <t>End Date</t>
  </si>
  <si>
    <t>Days</t>
  </si>
  <si>
    <t>Progress</t>
  </si>
  <si>
    <t>Jorge Villanueva</t>
  </si>
  <si>
    <t>Ms. Gail / Ms. Jacky</t>
  </si>
  <si>
    <t>User Management</t>
  </si>
  <si>
    <t>Users</t>
  </si>
  <si>
    <t>Users Roles</t>
  </si>
  <si>
    <t>Sales Module - Setup</t>
  </si>
  <si>
    <t>Transaction Type</t>
  </si>
  <si>
    <t>Pricing Category</t>
  </si>
  <si>
    <t>Sales Module</t>
  </si>
  <si>
    <t>Sales Order</t>
  </si>
  <si>
    <t>Delivery</t>
  </si>
  <si>
    <t>Receipts and Invoices</t>
  </si>
  <si>
    <t>Inventory</t>
  </si>
  <si>
    <t>Item Groups</t>
  </si>
  <si>
    <t>List of Produce (Item Master Data)</t>
  </si>
  <si>
    <t>Production</t>
  </si>
  <si>
    <t>Forecast</t>
  </si>
  <si>
    <t>N/A</t>
  </si>
  <si>
    <t>Monitoring</t>
  </si>
  <si>
    <t>CRM</t>
  </si>
  <si>
    <t>Customer List</t>
  </si>
  <si>
    <t>Sales Employee</t>
  </si>
  <si>
    <t>Leads</t>
  </si>
  <si>
    <t>Reports</t>
  </si>
  <si>
    <t>Daily/Monthly/Yearly Sales Report</t>
  </si>
  <si>
    <t>Dashboard</t>
  </si>
  <si>
    <t>Topselling Products</t>
  </si>
  <si>
    <t>Top 5 customers</t>
  </si>
  <si>
    <t>UAT Testing Phase One</t>
  </si>
  <si>
    <t>Sales Approval</t>
  </si>
  <si>
    <t>Fulfillment</t>
  </si>
  <si>
    <t>Ms. Sheryl / Sir Jason</t>
  </si>
  <si>
    <t>Invoicing</t>
  </si>
  <si>
    <t>Dispatching</t>
  </si>
  <si>
    <t>SAP Posting</t>
  </si>
  <si>
    <t>Ms. Mary Joy</t>
  </si>
  <si>
    <t>SAP Reports</t>
  </si>
  <si>
    <t>Functional and Technical Updates</t>
  </si>
  <si>
    <t>Internal Testing</t>
  </si>
  <si>
    <t>UAT Testing Phase Two</t>
  </si>
  <si>
    <t>Pre-Go Live</t>
  </si>
  <si>
    <t>Go or No Go Meeting</t>
  </si>
  <si>
    <t>All Users</t>
  </si>
  <si>
    <t>Go Live and Support/Parallel Testing</t>
  </si>
  <si>
    <t>Project Closing</t>
  </si>
  <si>
    <t>Done of the backlogs</t>
  </si>
  <si>
    <t>Except of the transactions of the customer that was not yet enrolled that time</t>
  </si>
  <si>
    <t>challenge about the re-opening the books</t>
  </si>
  <si>
    <t>Feedback</t>
  </si>
  <si>
    <t>Extraction of reports</t>
  </si>
  <si>
    <t>EWT capturing, when extracting those customers with EWT</t>
  </si>
  <si>
    <t>Filtering of extract the report</t>
  </si>
  <si>
    <t>Ms. Joy</t>
  </si>
  <si>
    <t>Adding of SKUs Bugs</t>
  </si>
  <si>
    <t>Pricing data, Salcedo B2B for Baby Romaine</t>
  </si>
  <si>
    <t>Ms. Bianca</t>
  </si>
  <si>
    <t>Invoice</t>
  </si>
  <si>
    <t>Approvals</t>
  </si>
  <si>
    <t>Ms. Katherine</t>
  </si>
  <si>
    <t>E-Commerce</t>
  </si>
  <si>
    <t>Landers</t>
  </si>
  <si>
    <t>Salcedo's</t>
  </si>
  <si>
    <t>PYC</t>
  </si>
  <si>
    <t>B2B-C</t>
  </si>
  <si>
    <t>HGI B2B Sales</t>
  </si>
  <si>
    <t>Raise it to finance team</t>
  </si>
  <si>
    <t>Extraction of report remove the time</t>
  </si>
  <si>
    <t>#</t>
  </si>
  <si>
    <t>Concern</t>
  </si>
  <si>
    <t>Reported By</t>
  </si>
  <si>
    <t>Reported Date</t>
  </si>
  <si>
    <t>Assigned To</t>
  </si>
  <si>
    <t>Priority Status</t>
  </si>
  <si>
    <t>Status</t>
  </si>
  <si>
    <t>Completed Date</t>
  </si>
  <si>
    <t>Remarks</t>
  </si>
  <si>
    <t>Add Delivery Fees</t>
  </si>
  <si>
    <t>Ms. Gail</t>
  </si>
  <si>
    <t>11/21/2024</t>
  </si>
  <si>
    <t>High</t>
  </si>
  <si>
    <t>Completed</t>
  </si>
  <si>
    <t>11/25/2024</t>
  </si>
  <si>
    <t>For Internal Testing</t>
  </si>
  <si>
    <t>Add Retail Discount</t>
  </si>
  <si>
    <t>Remove Discount column in fulfillment Form</t>
  </si>
  <si>
    <t>Low</t>
  </si>
  <si>
    <t>Additional Line for Retail and Store Discount in Fulfillment Form</t>
  </si>
  <si>
    <t>Unit of Measure in Fulfillment Form (KG/PACKS)</t>
  </si>
  <si>
    <t>Fulfilment Summary Two Export (Itemized and Totals of KG/PACKS)</t>
  </si>
  <si>
    <t>Automatic filter of items base on transaction type (B2C,B2C,SUPERMARKET)</t>
  </si>
  <si>
    <t>Additional Status (Replacement&amp;Samples) - to trace the Bad Orders and Samples - Include previous Order</t>
  </si>
  <si>
    <t>Additional Signatories Reviewed By:</t>
  </si>
  <si>
    <t>Cancel Line Order only on Order List</t>
  </si>
  <si>
    <t>Cancel whole order once invoiced.</t>
  </si>
  <si>
    <t>Additonal Function Item Price per Category</t>
  </si>
  <si>
    <t>Additonal Function for Approval Notification ( Notification bell/message)</t>
  </si>
  <si>
    <t>Additonal Function for Approval Notification ( Work List Items for Pending Approvals)</t>
  </si>
  <si>
    <t>Everytime there is a discount it should routed for approvals Sales Lead, BU Leads</t>
  </si>
  <si>
    <t>Ms. Nerissa</t>
  </si>
  <si>
    <t>12/13/2024</t>
  </si>
  <si>
    <t>Pending - Next Feature</t>
  </si>
  <si>
    <t>To be developed after the critical Modules is completed</t>
  </si>
  <si>
    <t>One time set-up  - Price Category (Control of uploading the prices (need to have a valid documents MEMO)</t>
  </si>
  <si>
    <t>Effective dates of pricing set-up</t>
  </si>
  <si>
    <t>Sir. Sonny</t>
  </si>
  <si>
    <t>Packaging -  per SKU - During Packing</t>
  </si>
  <si>
    <t>certain standards for Dates (Print Out)</t>
  </si>
  <si>
    <t>Continue with the cut-over - of Sales Order Number (QR Code - Bar Code)</t>
  </si>
  <si>
    <t>Sir Alfonso</t>
  </si>
  <si>
    <t>Set-up Numbering series during go live</t>
  </si>
  <si>
    <t>When the invoices is printed no mpore updates.</t>
  </si>
  <si>
    <t>Order can be updated if the order doesn’t have an Invoice yet.</t>
  </si>
  <si>
    <t>Fulfilment SUmmary with Period From and Period to Filtering</t>
  </si>
  <si>
    <t>Ms. Sheryl</t>
  </si>
  <si>
    <t>Fulfillment Batch Printing per Branch Only</t>
  </si>
  <si>
    <t>Rejected Orders must be routed back to Approver after updating</t>
  </si>
  <si>
    <t>Finance and Admin must be able to cancel after encoding</t>
  </si>
  <si>
    <t>Filtering in List of Order</t>
  </si>
  <si>
    <t>Medium</t>
  </si>
  <si>
    <t>Additional PO number during approval</t>
  </si>
  <si>
    <t>Tagum Invoice Printing</t>
  </si>
  <si>
    <t>Ms. Jacky</t>
  </si>
  <si>
    <t>For testing</t>
  </si>
  <si>
    <t>Additional functionality for consignment (add button during updates)</t>
  </si>
  <si>
    <t>Changing status from delivery to Dispatch for filtering</t>
  </si>
  <si>
    <t>Sir Jake</t>
  </si>
  <si>
    <t>Adding dates on Fulfillment Summary Report</t>
  </si>
  <si>
    <t xml:space="preserve">Pending </t>
  </si>
  <si>
    <t>Adding system indicator that the invoices was received by the admin after sending it to the customer</t>
  </si>
  <si>
    <t>Additional Summary Report for Dispatched List</t>
  </si>
  <si>
    <t>Error functionality when adding new order, in List of Order</t>
  </si>
  <si>
    <t>Merging of orders, Invoice</t>
  </si>
  <si>
    <t>Filtering in Sales Report</t>
  </si>
  <si>
    <t>ID</t>
  </si>
  <si>
    <t>RISK DESCRIPTION</t>
  </si>
  <si>
    <t>LIKELIHOOD</t>
  </si>
  <si>
    <t>SEVERITY</t>
  </si>
  <si>
    <t>RISK FACTOR</t>
  </si>
  <si>
    <t>OWNER</t>
  </si>
  <si>
    <t>MITIGATING ACTION</t>
  </si>
  <si>
    <t>CONTINGENT ACTION</t>
  </si>
  <si>
    <t>PROGRESS ON ACTIONS</t>
  </si>
  <si>
    <t>USEFUL RESOURCES</t>
  </si>
  <si>
    <t>Data migration errors during system implementation.</t>
  </si>
  <si>
    <t>Project Manager</t>
  </si>
  <si>
    <t>Conduct thorough testing and validation of migrated data.</t>
  </si>
  <si>
    <t>Roll back migration and investigate issues.</t>
  </si>
  <si>
    <t>Validate the data</t>
  </si>
  <si>
    <t>Data migration checklist</t>
  </si>
  <si>
    <t>User resistance to adopting the new system.</t>
  </si>
  <si>
    <t>Change Management Lead</t>
  </si>
  <si>
    <t>Provide comprehensive training and support materials.</t>
  </si>
  <si>
    <t>Offer one-on-one sessions for resistant users.</t>
  </si>
  <si>
    <t>Develop a training Plan</t>
  </si>
  <si>
    <t>Training schedule and materials</t>
  </si>
  <si>
    <t>Potential data security breaches during implementation</t>
  </si>
  <si>
    <t xml:space="preserve">Technical Lead </t>
  </si>
  <si>
    <t>Implement strict security protocols and audits.</t>
  </si>
  <si>
    <t>Activate incident response plan</t>
  </si>
  <si>
    <t>Security protocols in place</t>
  </si>
  <si>
    <t>Incident response policy</t>
  </si>
  <si>
    <t>Budget Constraints</t>
  </si>
  <si>
    <t>Conduct regular budget reviews and consider phased implementation to spread costs over time.</t>
  </si>
  <si>
    <t>Identify and focus on high-impact project deliverables and eliminate non-essential features or functionalities to reduce costs.</t>
  </si>
  <si>
    <t>Budget Tracking</t>
  </si>
  <si>
    <t>Budget Tracking Tool</t>
  </si>
  <si>
    <t>Greenhouse tagging during sales order encoding</t>
  </si>
  <si>
    <t>For Deployment</t>
  </si>
  <si>
    <t>Price Category Update Pricing A &amp; Pricing B - Dec. 15.</t>
  </si>
  <si>
    <t>Not Applicable</t>
  </si>
  <si>
    <t>Extract Sales Report Include Customer Wheld Tax</t>
  </si>
  <si>
    <t>Currrently working on</t>
  </si>
  <si>
    <t>Batch Printing for Pending Order</t>
  </si>
  <si>
    <t>Deployed</t>
  </si>
  <si>
    <t>Sales Order Remarks Remove the old SI Number</t>
  </si>
  <si>
    <t>Remarks Salcedo during SAP posting./ Manual encoding of landers remarks is not showing</t>
  </si>
  <si>
    <t>Ms. Nery approver of Mothers choice</t>
  </si>
  <si>
    <t>Segragation of approval</t>
  </si>
  <si>
    <t>SANGGUNIANG BAYAN INFORMATION SYSTEM</t>
  </si>
  <si>
    <t>User Registration</t>
  </si>
  <si>
    <t>Login / authentication</t>
  </si>
  <si>
    <t>Role Management (Admin, Staff, Public User)</t>
  </si>
  <si>
    <t>Password Management</t>
  </si>
  <si>
    <t>User Activity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</si>
</sst>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W\k\ 0"/>
    <numFmt numFmtId="165" formatCode="\W\k\ #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top"/>
    </xf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0" xfId="0" applyFont="1" applyFill="1"/>
    <xf numFmtId="14" fontId="1" fillId="2" borderId="0" xfId="0" applyNumberFormat="1" applyFont="1" applyFill="1"/>
    <xf numFmtId="0" fontId="0" fillId="2" borderId="0" xfId="0" applyFill="1"/>
    <xf numFmtId="16" fontId="3" fillId="2" borderId="0" xfId="0" applyNumberFormat="1" applyFont="1" applyFill="1"/>
    <xf numFmtId="0" fontId="3" fillId="2" borderId="0" xfId="0" applyFont="1" applyFill="1"/>
    <xf numFmtId="0" fontId="2" fillId="2" borderId="0" xfId="0" applyFont="1" applyFill="1"/>
    <xf numFmtId="14" fontId="2" fillId="2" borderId="0" xfId="0" applyNumberFormat="1" applyFont="1" applyFill="1"/>
    <xf numFmtId="165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2" xfId="0" applyFont="1" applyFill="1" applyBorder="1"/>
    <xf numFmtId="0" fontId="0" fillId="3" borderId="3" xfId="0" applyFill="1" applyBorder="1"/>
    <xf numFmtId="0" fontId="0" fillId="3" borderId="0" xfId="0" applyFill="1"/>
    <xf numFmtId="0" fontId="0" fillId="0" borderId="4" xfId="0" applyBorder="1" applyAlignment="1">
      <alignment horizontal="left" indent="1"/>
    </xf>
    <xf numFmtId="0" fontId="0" fillId="0" borderId="4" xfId="0" applyBorder="1"/>
    <xf numFmtId="14" fontId="0" fillId="0" borderId="4" xfId="0" applyNumberFormat="1" applyBorder="1"/>
    <xf numFmtId="9" fontId="0" fillId="0" borderId="4" xfId="0" applyNumberFormat="1" applyBorder="1"/>
    <xf numFmtId="9" fontId="0" fillId="0" borderId="5" xfId="0" applyNumberFormat="1" applyBorder="1"/>
    <xf numFmtId="0" fontId="0" fillId="0" borderId="3" xfId="0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0" fontId="2" fillId="3" borderId="5" xfId="0" applyFont="1" applyFill="1" applyBorder="1"/>
    <xf numFmtId="0" fontId="0" fillId="0" borderId="5" xfId="0" applyBorder="1"/>
    <xf numFmtId="0" fontId="0" fillId="0" borderId="1" xfId="0" applyBorder="1" applyAlignment="1">
      <alignment horizontal="left" indent="1"/>
    </xf>
    <xf numFmtId="14" fontId="2" fillId="0" borderId="0" xfId="0" applyNumberFormat="1" applyFont="1"/>
    <xf numFmtId="9" fontId="2" fillId="0" borderId="0" xfId="0" applyNumberFormat="1" applyFont="1"/>
    <xf numFmtId="0" fontId="0" fillId="0" borderId="0" xfId="0" applyAlignment="1">
      <alignment horizontal="center" vertical="center"/>
    </xf>
    <xf numFmtId="0" fontId="1" fillId="4" borderId="0" xfId="0" applyFont="1" applyFill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3" fillId="6" borderId="6" xfId="0" applyFont="1" applyFill="1" applyBorder="1" applyAlignment="1">
      <alignment horizontal="center"/>
    </xf>
    <xf numFmtId="0" fontId="3" fillId="5" borderId="6" xfId="0" applyFont="1" applyFill="1" applyBorder="1"/>
    <xf numFmtId="0" fontId="3" fillId="7" borderId="6" xfId="0" applyFont="1" applyFill="1" applyBorder="1"/>
    <xf numFmtId="0" fontId="3" fillId="5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8" borderId="4" xfId="0" applyFill="1" applyBorder="1" applyAlignment="1">
      <alignment horizontal="left" indent="1"/>
    </xf>
    <xf numFmtId="0" fontId="0" fillId="8" borderId="4" xfId="0" applyFill="1" applyBorder="1"/>
    <xf numFmtId="14" fontId="0" fillId="8" borderId="4" xfId="0" applyNumberFormat="1" applyFill="1" applyBorder="1"/>
    <xf numFmtId="0" fontId="0" fillId="8" borderId="5" xfId="0" applyFill="1" applyBorder="1"/>
    <xf numFmtId="0" fontId="0" fillId="8" borderId="3" xfId="0" applyFill="1" applyBorder="1"/>
    <xf numFmtId="0" fontId="0" fillId="8" borderId="0" xfId="0" applyFill="1"/>
    <xf numFmtId="9" fontId="0" fillId="8" borderId="4" xfId="0" applyNumberFormat="1" applyFill="1" applyBorder="1" applyAlignment="1">
      <alignment horizontal="center"/>
    </xf>
    <xf numFmtId="0" fontId="0" fillId="0" borderId="0" xfId="0" applyAlignment="1">
      <alignment horizontal="left" indent="1"/>
    </xf>
    <xf numFmtId="9" fontId="1" fillId="0" borderId="0" xfId="0" applyNumberFormat="1" applyFont="1"/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left"/>
    </xf>
    <xf numFmtId="0" fontId="0" fillId="9" borderId="6" xfId="0" applyFill="1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0" xfId="0" applyBorder="1"/>
    <xf numFmtId="14" fontId="0" fillId="0" borderId="1" xfId="0" applyNumberFormat="1" applyBorder="1"/>
    <xf numFmtId="9" fontId="0" fillId="0" borderId="1" xfId="0" applyNumberFormat="1" applyBorder="1"/>
    <xf numFmtId="9" fontId="0" fillId="0" borderId="2" xfId="0" applyNumberFormat="1" applyBorder="1"/>
  </cellXfs>
  <cellStyles count="1">
    <cellStyle name="Normal" xfId="0" builtinId="0"/>
  </cellStyles>
  <dxfs count="24"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F92D-0070-44F2-B9E1-470971D48562}">
  <dimension ref="A2:AM65"/>
  <sheetViews>
    <sheetView showGridLines="0" tabSelected="1" zoomScaleNormal="100" workbookViewId="0">
      <pane xSplit="8" ySplit="9" topLeftCell="I10" activePane="bottomRight" state="frozen"/>
      <selection pane="topRight" activeCell="H1" sqref="H1"/>
      <selection pane="bottomLeft" activeCell="A10" sqref="A10"/>
      <selection pane="bottomRight" activeCell="E21" sqref="E21"/>
    </sheetView>
  </sheetViews>
  <sheetFormatPr defaultRowHeight="14.4" x14ac:dyDescent="0.3"/>
  <cols>
    <col min="1" max="1" width="38.21875" bestFit="1" customWidth="1"/>
    <col min="2" max="2" width="17.6640625" bestFit="1" customWidth="1"/>
    <col min="3" max="3" width="26.5546875" customWidth="1"/>
    <col min="4" max="4" width="14.21875" style="4" customWidth="1"/>
    <col min="5" max="5" width="18.88671875" style="4" customWidth="1"/>
    <col min="6" max="6" width="5" bestFit="1" customWidth="1"/>
    <col min="7" max="7" width="8.109375" bestFit="1" customWidth="1"/>
    <col min="9" max="9" width="7.88671875" customWidth="1"/>
    <col min="10" max="10" width="6.5546875" bestFit="1" customWidth="1"/>
    <col min="11" max="14" width="6.6640625" bestFit="1" customWidth="1"/>
    <col min="15" max="19" width="6.88671875" bestFit="1" customWidth="1"/>
    <col min="20" max="23" width="6.33203125" bestFit="1" customWidth="1"/>
    <col min="24" max="32" width="6.6640625" bestFit="1" customWidth="1"/>
    <col min="33" max="36" width="6.44140625" bestFit="1" customWidth="1"/>
    <col min="37" max="39" width="6.88671875" bestFit="1" customWidth="1"/>
  </cols>
  <sheetData>
    <row r="2" spans="1:39" x14ac:dyDescent="0.3">
      <c r="A2" s="1" t="s">
        <v>0</v>
      </c>
      <c r="B2" s="2"/>
      <c r="C2" s="3" t="s">
        <v>192</v>
      </c>
      <c r="E2" s="32" t="s">
        <v>1</v>
      </c>
      <c r="G2" s="57">
        <f>AVERAGE(G11:G40)</f>
        <v>1</v>
      </c>
    </row>
    <row r="3" spans="1:39" x14ac:dyDescent="0.3">
      <c r="A3" s="1" t="s">
        <v>2</v>
      </c>
      <c r="B3" s="2"/>
      <c r="C3" s="5">
        <v>45586</v>
      </c>
      <c r="E3" s="32" t="s">
        <v>3</v>
      </c>
      <c r="G3" s="33">
        <f>AVERAGE(G41:G65)</f>
        <v>0.95238095238095233</v>
      </c>
    </row>
    <row r="4" spans="1:39" x14ac:dyDescent="0.3">
      <c r="A4" s="1" t="s">
        <v>4</v>
      </c>
      <c r="B4" s="2"/>
      <c r="C4" s="5">
        <f ca="1">TODAY()</f>
        <v>46092</v>
      </c>
      <c r="E4" s="32" t="s">
        <v>5</v>
      </c>
      <c r="G4" s="33">
        <f>AVERAGE(G2,G3)</f>
        <v>0.97619047619047616</v>
      </c>
    </row>
    <row r="5" spans="1:39" x14ac:dyDescent="0.3">
      <c r="A5" s="1" t="s">
        <v>6</v>
      </c>
      <c r="B5" s="2"/>
      <c r="C5" s="6">
        <f ca="1">ROUNDUP((C4-C3)/7,0)</f>
        <v>73</v>
      </c>
    </row>
    <row r="7" spans="1:39" s="9" customFormat="1" x14ac:dyDescent="0.3">
      <c r="A7" s="7"/>
      <c r="B7" s="7"/>
      <c r="C7" s="7"/>
      <c r="D7" s="8"/>
      <c r="E7" s="8"/>
      <c r="F7" s="7"/>
      <c r="G7" s="7"/>
      <c r="H7" s="7"/>
    </row>
    <row r="8" spans="1:39" s="11" customFormat="1" x14ac:dyDescent="0.3">
      <c r="A8" s="7" t="s">
        <v>7</v>
      </c>
      <c r="B8" s="7" t="s">
        <v>8</v>
      </c>
      <c r="C8" s="7" t="s">
        <v>9</v>
      </c>
      <c r="D8" s="8" t="s">
        <v>10</v>
      </c>
      <c r="E8" s="8" t="s">
        <v>11</v>
      </c>
      <c r="F8" s="7" t="s">
        <v>12</v>
      </c>
      <c r="G8" s="7" t="s">
        <v>13</v>
      </c>
      <c r="H8" s="7"/>
      <c r="I8" s="10">
        <f>C3</f>
        <v>45586</v>
      </c>
      <c r="J8" s="10">
        <f>I8+7</f>
        <v>45593</v>
      </c>
      <c r="K8" s="10">
        <f t="shared" ref="K8:AM8" si="0">J8+7</f>
        <v>45600</v>
      </c>
      <c r="L8" s="10">
        <f t="shared" si="0"/>
        <v>45607</v>
      </c>
      <c r="M8" s="10">
        <f t="shared" si="0"/>
        <v>45614</v>
      </c>
      <c r="N8" s="10">
        <f t="shared" si="0"/>
        <v>45621</v>
      </c>
      <c r="O8" s="10">
        <f t="shared" si="0"/>
        <v>45628</v>
      </c>
      <c r="P8" s="10">
        <f t="shared" si="0"/>
        <v>45635</v>
      </c>
      <c r="Q8" s="10">
        <f t="shared" si="0"/>
        <v>45642</v>
      </c>
      <c r="R8" s="10">
        <f t="shared" si="0"/>
        <v>45649</v>
      </c>
      <c r="S8" s="10">
        <f t="shared" si="0"/>
        <v>45656</v>
      </c>
      <c r="T8" s="10">
        <f t="shared" si="0"/>
        <v>45663</v>
      </c>
      <c r="U8" s="10">
        <f t="shared" si="0"/>
        <v>45670</v>
      </c>
      <c r="V8" s="10">
        <f t="shared" si="0"/>
        <v>45677</v>
      </c>
      <c r="W8" s="10">
        <f t="shared" si="0"/>
        <v>45684</v>
      </c>
      <c r="X8" s="10">
        <f t="shared" si="0"/>
        <v>45691</v>
      </c>
      <c r="Y8" s="10">
        <f t="shared" si="0"/>
        <v>45698</v>
      </c>
      <c r="Z8" s="10">
        <f t="shared" si="0"/>
        <v>45705</v>
      </c>
      <c r="AA8" s="10">
        <f t="shared" si="0"/>
        <v>45712</v>
      </c>
      <c r="AB8" s="10">
        <f t="shared" si="0"/>
        <v>45719</v>
      </c>
      <c r="AC8" s="10">
        <f t="shared" si="0"/>
        <v>45726</v>
      </c>
      <c r="AD8" s="10">
        <f t="shared" si="0"/>
        <v>45733</v>
      </c>
      <c r="AE8" s="10">
        <f t="shared" si="0"/>
        <v>45740</v>
      </c>
      <c r="AF8" s="10">
        <f t="shared" si="0"/>
        <v>45747</v>
      </c>
      <c r="AG8" s="10">
        <f t="shared" si="0"/>
        <v>45754</v>
      </c>
      <c r="AH8" s="10">
        <f t="shared" si="0"/>
        <v>45761</v>
      </c>
      <c r="AI8" s="10">
        <f t="shared" si="0"/>
        <v>45768</v>
      </c>
      <c r="AJ8" s="10">
        <f t="shared" si="0"/>
        <v>45775</v>
      </c>
      <c r="AK8" s="10">
        <f t="shared" si="0"/>
        <v>45782</v>
      </c>
      <c r="AL8" s="10">
        <f t="shared" si="0"/>
        <v>45789</v>
      </c>
      <c r="AM8" s="10">
        <f t="shared" si="0"/>
        <v>45796</v>
      </c>
    </row>
    <row r="9" spans="1:39" s="15" customFormat="1" x14ac:dyDescent="0.3">
      <c r="A9" s="12"/>
      <c r="B9" s="12"/>
      <c r="C9" s="12"/>
      <c r="D9" s="13"/>
      <c r="E9" s="13"/>
      <c r="F9" s="12"/>
      <c r="G9" s="12"/>
      <c r="H9" s="12"/>
      <c r="I9" s="14">
        <v>1</v>
      </c>
      <c r="J9" s="14">
        <f>I9+1</f>
        <v>2</v>
      </c>
      <c r="K9" s="14">
        <f t="shared" ref="K9:AM9" si="1">J9+1</f>
        <v>3</v>
      </c>
      <c r="L9" s="14">
        <f t="shared" si="1"/>
        <v>4</v>
      </c>
      <c r="M9" s="14">
        <f t="shared" si="1"/>
        <v>5</v>
      </c>
      <c r="N9" s="14">
        <f t="shared" si="1"/>
        <v>6</v>
      </c>
      <c r="O9" s="14">
        <f t="shared" si="1"/>
        <v>7</v>
      </c>
      <c r="P9" s="14">
        <f t="shared" si="1"/>
        <v>8</v>
      </c>
      <c r="Q9" s="14">
        <f t="shared" si="1"/>
        <v>9</v>
      </c>
      <c r="R9" s="14">
        <f t="shared" si="1"/>
        <v>10</v>
      </c>
      <c r="S9" s="14">
        <f t="shared" si="1"/>
        <v>11</v>
      </c>
      <c r="T9" s="14">
        <f t="shared" si="1"/>
        <v>12</v>
      </c>
      <c r="U9" s="14">
        <f t="shared" si="1"/>
        <v>13</v>
      </c>
      <c r="V9" s="14">
        <f t="shared" si="1"/>
        <v>14</v>
      </c>
      <c r="W9" s="14">
        <f t="shared" si="1"/>
        <v>15</v>
      </c>
      <c r="X9" s="14">
        <f t="shared" si="1"/>
        <v>16</v>
      </c>
      <c r="Y9" s="14">
        <f t="shared" si="1"/>
        <v>17</v>
      </c>
      <c r="Z9" s="14">
        <f t="shared" si="1"/>
        <v>18</v>
      </c>
      <c r="AA9" s="14">
        <f t="shared" si="1"/>
        <v>19</v>
      </c>
      <c r="AB9" s="14">
        <f t="shared" si="1"/>
        <v>20</v>
      </c>
      <c r="AC9" s="14">
        <f t="shared" si="1"/>
        <v>21</v>
      </c>
      <c r="AD9" s="14">
        <f t="shared" si="1"/>
        <v>22</v>
      </c>
      <c r="AE9" s="14">
        <f t="shared" si="1"/>
        <v>23</v>
      </c>
      <c r="AF9" s="14">
        <f t="shared" si="1"/>
        <v>24</v>
      </c>
      <c r="AG9" s="14">
        <f t="shared" si="1"/>
        <v>25</v>
      </c>
      <c r="AH9" s="14">
        <f t="shared" si="1"/>
        <v>26</v>
      </c>
      <c r="AI9" s="14">
        <f t="shared" si="1"/>
        <v>27</v>
      </c>
      <c r="AJ9" s="14">
        <f t="shared" si="1"/>
        <v>28</v>
      </c>
      <c r="AK9" s="14">
        <f t="shared" si="1"/>
        <v>29</v>
      </c>
      <c r="AL9" s="14">
        <f t="shared" si="1"/>
        <v>30</v>
      </c>
      <c r="AM9" s="14">
        <f t="shared" si="1"/>
        <v>31</v>
      </c>
    </row>
    <row r="10" spans="1:39" s="20" customFormat="1" x14ac:dyDescent="0.3">
      <c r="A10" s="16" t="s">
        <v>16</v>
      </c>
      <c r="B10" s="16"/>
      <c r="C10" s="15"/>
      <c r="D10" s="17"/>
      <c r="E10" s="17"/>
      <c r="F10" s="16"/>
      <c r="G10" s="16"/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1:39" x14ac:dyDescent="0.3">
      <c r="A11" s="21" t="s">
        <v>193</v>
      </c>
      <c r="B11" s="22" t="s">
        <v>14</v>
      </c>
      <c r="C11" s="22" t="s">
        <v>15</v>
      </c>
      <c r="D11" s="23">
        <f>C3</f>
        <v>45586</v>
      </c>
      <c r="E11" s="23">
        <f>D11+2</f>
        <v>45588</v>
      </c>
      <c r="F11" s="22">
        <f>IF(D11="","",E11-D11)</f>
        <v>2</v>
      </c>
      <c r="G11" s="24">
        <v>1</v>
      </c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s="15" customFormat="1" x14ac:dyDescent="0.3">
      <c r="A12" s="21" t="s">
        <v>194</v>
      </c>
      <c r="B12" s="22" t="s">
        <v>14</v>
      </c>
      <c r="C12" s="22" t="s">
        <v>15</v>
      </c>
      <c r="D12" s="23">
        <f>E11+1</f>
        <v>45589</v>
      </c>
      <c r="E12" s="23">
        <f>D12+1</f>
        <v>45590</v>
      </c>
      <c r="F12" s="22">
        <f>IF(D12="","",E12-D12)</f>
        <v>1</v>
      </c>
      <c r="G12" s="24">
        <v>1</v>
      </c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s="15" customFormat="1" x14ac:dyDescent="0.3">
      <c r="A13" s="31" t="s">
        <v>195</v>
      </c>
      <c r="B13" s="68"/>
      <c r="C13" s="69"/>
      <c r="D13" s="70"/>
      <c r="E13" s="70"/>
      <c r="F13" s="68"/>
      <c r="G13" s="71"/>
      <c r="H13" s="72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 s="15" customFormat="1" x14ac:dyDescent="0.3">
      <c r="A14" s="31" t="s">
        <v>196</v>
      </c>
      <c r="B14" s="68"/>
      <c r="C14" s="69"/>
      <c r="D14" s="70"/>
      <c r="E14" s="70"/>
      <c r="F14" s="68"/>
      <c r="G14" s="71"/>
      <c r="H14" s="72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s="15" customFormat="1" x14ac:dyDescent="0.3">
      <c r="A15" s="31" t="s">
        <v>197</v>
      </c>
      <c r="B15" s="68"/>
      <c r="C15" s="69"/>
      <c r="D15" s="70"/>
      <c r="E15" s="70"/>
      <c r="F15" s="68"/>
      <c r="G15" s="71"/>
      <c r="H15" s="72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s="20" customFormat="1" x14ac:dyDescent="0.3">
      <c r="A16" s="16" t="s">
        <v>16</v>
      </c>
      <c r="B16" s="16"/>
      <c r="C16" s="15"/>
      <c r="D16" s="17"/>
      <c r="E16" s="17"/>
      <c r="F16" s="16"/>
      <c r="G16" s="16"/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3">
      <c r="A17" s="21" t="s">
        <v>17</v>
      </c>
      <c r="B17" s="22" t="s">
        <v>14</v>
      </c>
      <c r="C17" s="22" t="s">
        <v>15</v>
      </c>
      <c r="D17" s="23">
        <f>E12+1</f>
        <v>45591</v>
      </c>
      <c r="E17" s="23">
        <f>D17+3</f>
        <v>45594</v>
      </c>
      <c r="F17" s="22">
        <f>IF(D17="","",E17-D17)</f>
        <v>3</v>
      </c>
      <c r="G17" s="24">
        <v>1</v>
      </c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x14ac:dyDescent="0.3">
      <c r="A18" s="21" t="s">
        <v>18</v>
      </c>
      <c r="B18" s="22" t="s">
        <v>14</v>
      </c>
      <c r="C18" s="22" t="s">
        <v>15</v>
      </c>
      <c r="D18" s="23">
        <f>E17+1</f>
        <v>45595</v>
      </c>
      <c r="E18" s="23">
        <f>D18+3</f>
        <v>45598</v>
      </c>
      <c r="F18" s="22">
        <f>IF(D18="","",E18-D18)</f>
        <v>3</v>
      </c>
      <c r="G18" s="24">
        <v>1</v>
      </c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s="15" customFormat="1" x14ac:dyDescent="0.3">
      <c r="A19" s="16" t="s">
        <v>19</v>
      </c>
      <c r="B19" s="27"/>
      <c r="C19" s="27"/>
      <c r="D19" s="28"/>
      <c r="E19" s="28"/>
      <c r="F19" s="28"/>
      <c r="G19" s="28"/>
      <c r="H19" s="2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ht="15.6" customHeight="1" x14ac:dyDescent="0.3">
      <c r="A20" s="21" t="s">
        <v>20</v>
      </c>
      <c r="B20" s="22" t="s">
        <v>14</v>
      </c>
      <c r="C20" s="22" t="s">
        <v>15</v>
      </c>
      <c r="D20" s="23">
        <f>E18+1</f>
        <v>45599</v>
      </c>
      <c r="E20" s="23">
        <f>D20+3</f>
        <v>45602</v>
      </c>
      <c r="F20" s="22">
        <f>IF(D20="","",E20-D20)</f>
        <v>3</v>
      </c>
      <c r="G20" s="24">
        <v>1</v>
      </c>
      <c r="H20" s="30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ht="15.6" customHeight="1" x14ac:dyDescent="0.3">
      <c r="A21" s="31" t="s">
        <v>21</v>
      </c>
      <c r="B21" s="22" t="s">
        <v>14</v>
      </c>
      <c r="C21" s="22" t="s">
        <v>15</v>
      </c>
      <c r="D21" s="23">
        <f>E20+1</f>
        <v>45603</v>
      </c>
      <c r="E21" s="23">
        <f>D21+3</f>
        <v>45606</v>
      </c>
      <c r="F21" s="22">
        <f>IF(D21="","",E21-D21)</f>
        <v>3</v>
      </c>
      <c r="G21" s="24">
        <v>1</v>
      </c>
      <c r="H21" s="30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s="15" customFormat="1" x14ac:dyDescent="0.3">
      <c r="A22" s="16" t="s">
        <v>22</v>
      </c>
      <c r="B22" s="27"/>
      <c r="C22" s="27"/>
      <c r="D22" s="28"/>
      <c r="E22" s="28"/>
      <c r="F22" s="28"/>
      <c r="G22" s="28"/>
      <c r="H22" s="2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ht="15.6" customHeight="1" x14ac:dyDescent="0.3">
      <c r="A23" s="21" t="s">
        <v>23</v>
      </c>
      <c r="B23" s="22" t="s">
        <v>14</v>
      </c>
      <c r="C23" s="22" t="s">
        <v>15</v>
      </c>
      <c r="D23" s="23">
        <f>E21+1</f>
        <v>45607</v>
      </c>
      <c r="E23" s="23">
        <f>D23+10</f>
        <v>45617</v>
      </c>
      <c r="F23" s="22">
        <f>IF(D23="","",E23-D23)</f>
        <v>10</v>
      </c>
      <c r="G23" s="24">
        <v>1</v>
      </c>
      <c r="H23" s="30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.6" customHeight="1" x14ac:dyDescent="0.3">
      <c r="A24" s="31" t="s">
        <v>24</v>
      </c>
      <c r="B24" s="22" t="s">
        <v>14</v>
      </c>
      <c r="C24" s="22" t="s">
        <v>15</v>
      </c>
      <c r="D24" s="23">
        <f>E23+1</f>
        <v>45618</v>
      </c>
      <c r="E24" s="23">
        <f>D24+10</f>
        <v>45628</v>
      </c>
      <c r="F24" s="22">
        <f>IF(D24="","",E24-D24)</f>
        <v>10</v>
      </c>
      <c r="G24" s="24">
        <v>1</v>
      </c>
      <c r="H24" s="30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5.6" customHeight="1" x14ac:dyDescent="0.3">
      <c r="A25" s="31" t="s">
        <v>25</v>
      </c>
      <c r="B25" s="22" t="s">
        <v>14</v>
      </c>
      <c r="C25" s="22" t="s">
        <v>15</v>
      </c>
      <c r="D25" s="23">
        <f>E24+1</f>
        <v>45629</v>
      </c>
      <c r="E25" s="23">
        <f>D25+10</f>
        <v>45639</v>
      </c>
      <c r="F25" s="22">
        <f>IF(D25="","",E25-D25)</f>
        <v>10</v>
      </c>
      <c r="G25" s="24">
        <v>1</v>
      </c>
      <c r="H25" s="30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s="15" customFormat="1" x14ac:dyDescent="0.3">
      <c r="A26" s="16" t="s">
        <v>26</v>
      </c>
      <c r="B26" s="27"/>
      <c r="C26" s="27"/>
      <c r="D26" s="28"/>
      <c r="E26" s="28"/>
      <c r="F26" s="28"/>
      <c r="G26" s="28"/>
      <c r="H26" s="2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3">
      <c r="A27" s="21" t="s">
        <v>27</v>
      </c>
      <c r="B27" s="22" t="s">
        <v>14</v>
      </c>
      <c r="C27" s="22" t="s">
        <v>15</v>
      </c>
      <c r="D27" s="23">
        <f>E25+1</f>
        <v>45640</v>
      </c>
      <c r="E27" s="23">
        <f>D27+3</f>
        <v>45643</v>
      </c>
      <c r="F27" s="22">
        <f>IF(D27="","",E27-D27)</f>
        <v>3</v>
      </c>
      <c r="G27" s="24">
        <v>1</v>
      </c>
      <c r="H27" s="30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x14ac:dyDescent="0.3">
      <c r="A28" s="21" t="s">
        <v>28</v>
      </c>
      <c r="B28" s="22" t="s">
        <v>14</v>
      </c>
      <c r="C28" s="22" t="s">
        <v>15</v>
      </c>
      <c r="D28" s="23">
        <f>E27+1</f>
        <v>45644</v>
      </c>
      <c r="E28" s="23">
        <f>D28+3</f>
        <v>45647</v>
      </c>
      <c r="F28" s="22">
        <f>IF(D28="","",E28-D28)</f>
        <v>3</v>
      </c>
      <c r="G28" s="24">
        <v>1</v>
      </c>
      <c r="H28" s="3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s="15" customFormat="1" x14ac:dyDescent="0.3">
      <c r="A29" s="16" t="s">
        <v>29</v>
      </c>
      <c r="B29" s="27"/>
      <c r="C29" s="27"/>
      <c r="D29" s="28"/>
      <c r="E29" s="28"/>
      <c r="F29" s="28"/>
      <c r="G29" s="28"/>
      <c r="H29" s="2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s="54" customFormat="1" x14ac:dyDescent="0.3">
      <c r="A30" s="49" t="s">
        <v>30</v>
      </c>
      <c r="B30" s="50" t="s">
        <v>14</v>
      </c>
      <c r="C30" s="50" t="s">
        <v>15</v>
      </c>
      <c r="D30" s="51">
        <f>E28+1</f>
        <v>45648</v>
      </c>
      <c r="E30" s="51">
        <f>D30+10</f>
        <v>45658</v>
      </c>
      <c r="F30" s="50">
        <f>IF(D30="","",E30-D30)</f>
        <v>10</v>
      </c>
      <c r="G30" s="55" t="s">
        <v>31</v>
      </c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</row>
    <row r="31" spans="1:39" s="54" customFormat="1" x14ac:dyDescent="0.3">
      <c r="A31" s="49" t="s">
        <v>32</v>
      </c>
      <c r="B31" s="50" t="s">
        <v>14</v>
      </c>
      <c r="C31" s="50" t="s">
        <v>15</v>
      </c>
      <c r="D31" s="51">
        <f>E30+1</f>
        <v>45659</v>
      </c>
      <c r="E31" s="51">
        <f>D31+7</f>
        <v>45666</v>
      </c>
      <c r="F31" s="50">
        <f>IF(D31="","",E31-D31)</f>
        <v>7</v>
      </c>
      <c r="G31" s="55" t="s">
        <v>31</v>
      </c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</row>
    <row r="32" spans="1:39" s="15" customFormat="1" x14ac:dyDescent="0.3">
      <c r="A32" s="16" t="s">
        <v>33</v>
      </c>
      <c r="B32" s="27"/>
      <c r="C32" s="27"/>
      <c r="D32" s="28"/>
      <c r="E32" s="28"/>
      <c r="F32" s="28"/>
      <c r="G32" s="28"/>
      <c r="H32" s="2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3">
      <c r="A33" s="21" t="s">
        <v>34</v>
      </c>
      <c r="B33" s="22" t="s">
        <v>14</v>
      </c>
      <c r="C33" s="22" t="s">
        <v>15</v>
      </c>
      <c r="D33" s="23">
        <f>E31+1</f>
        <v>45667</v>
      </c>
      <c r="E33" s="23">
        <f>D33+3</f>
        <v>45670</v>
      </c>
      <c r="F33" s="22">
        <f>IF(D33="","",E33-D33)</f>
        <v>3</v>
      </c>
      <c r="G33" s="24">
        <v>1</v>
      </c>
      <c r="H33" s="30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s="54" customFormat="1" x14ac:dyDescent="0.3">
      <c r="A34" s="49" t="s">
        <v>35</v>
      </c>
      <c r="B34" s="50" t="s">
        <v>14</v>
      </c>
      <c r="C34" s="50" t="s">
        <v>15</v>
      </c>
      <c r="D34" s="51">
        <f>E33+1</f>
        <v>45671</v>
      </c>
      <c r="E34" s="51">
        <f>D34+3</f>
        <v>45674</v>
      </c>
      <c r="F34" s="50">
        <f>IF(D34="","",E34-D34)</f>
        <v>3</v>
      </c>
      <c r="G34" s="55" t="s">
        <v>31</v>
      </c>
      <c r="H34" s="52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</row>
    <row r="35" spans="1:39" s="54" customFormat="1" x14ac:dyDescent="0.3">
      <c r="A35" s="49" t="s">
        <v>36</v>
      </c>
      <c r="B35" s="50" t="s">
        <v>14</v>
      </c>
      <c r="C35" s="50" t="s">
        <v>15</v>
      </c>
      <c r="D35" s="51">
        <f>E34+1</f>
        <v>45675</v>
      </c>
      <c r="E35" s="51">
        <f>D35+3</f>
        <v>45678</v>
      </c>
      <c r="F35" s="50">
        <f>IF(D35="","",E35-D35)</f>
        <v>3</v>
      </c>
      <c r="G35" s="55" t="s">
        <v>31</v>
      </c>
      <c r="H35" s="5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</row>
    <row r="36" spans="1:39" s="15" customFormat="1" x14ac:dyDescent="0.3">
      <c r="A36" s="16" t="s">
        <v>37</v>
      </c>
      <c r="B36" s="27"/>
      <c r="C36" s="27"/>
      <c r="D36" s="28"/>
      <c r="E36" s="28"/>
      <c r="F36" s="28"/>
      <c r="G36" s="28"/>
      <c r="H36" s="2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x14ac:dyDescent="0.3">
      <c r="A37" s="21" t="s">
        <v>38</v>
      </c>
      <c r="B37" s="22" t="s">
        <v>14</v>
      </c>
      <c r="C37" s="22" t="s">
        <v>15</v>
      </c>
      <c r="D37" s="23">
        <f>E35+1</f>
        <v>45679</v>
      </c>
      <c r="E37" s="23">
        <f>D37+5</f>
        <v>45684</v>
      </c>
      <c r="F37" s="22">
        <f>IF(D37="","",E37-D37)</f>
        <v>5</v>
      </c>
      <c r="G37" s="24">
        <v>1</v>
      </c>
      <c r="H37" s="30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s="15" customFormat="1" x14ac:dyDescent="0.3">
      <c r="A38" s="16" t="s">
        <v>39</v>
      </c>
      <c r="B38" s="27"/>
      <c r="C38" s="27"/>
      <c r="D38" s="28"/>
      <c r="E38" s="28"/>
      <c r="F38" s="28"/>
      <c r="G38" s="28"/>
      <c r="H38" s="2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x14ac:dyDescent="0.3">
      <c r="A39" s="21" t="s">
        <v>40</v>
      </c>
      <c r="B39" s="22" t="s">
        <v>14</v>
      </c>
      <c r="C39" s="22" t="s">
        <v>15</v>
      </c>
      <c r="D39" s="23">
        <f>E37+1</f>
        <v>45685</v>
      </c>
      <c r="E39" s="23">
        <f>D39+5</f>
        <v>45690</v>
      </c>
      <c r="F39" s="22">
        <f>IF(D39="","",E39-D39)</f>
        <v>5</v>
      </c>
      <c r="G39" s="24">
        <v>1</v>
      </c>
      <c r="H39" s="30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 x14ac:dyDescent="0.3">
      <c r="A40" s="21" t="s">
        <v>41</v>
      </c>
      <c r="B40" s="22" t="s">
        <v>14</v>
      </c>
      <c r="C40" s="22" t="s">
        <v>15</v>
      </c>
      <c r="D40" s="23">
        <f>E39+1</f>
        <v>45691</v>
      </c>
      <c r="E40" s="23">
        <f>D40+5</f>
        <v>45696</v>
      </c>
      <c r="F40" s="22">
        <f>IF(D40="","",E40-D40)</f>
        <v>5</v>
      </c>
      <c r="G40" s="24">
        <v>1</v>
      </c>
      <c r="H40" s="30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s="20" customFormat="1" x14ac:dyDescent="0.3">
      <c r="A41" s="16" t="s">
        <v>42</v>
      </c>
      <c r="B41" s="16"/>
      <c r="C41" s="15"/>
      <c r="D41" s="17"/>
      <c r="E41" s="17"/>
      <c r="F41" s="16"/>
      <c r="G41" s="16"/>
      <c r="H41" s="18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x14ac:dyDescent="0.3">
      <c r="A42" s="21" t="s">
        <v>23</v>
      </c>
      <c r="B42" s="22" t="s">
        <v>15</v>
      </c>
      <c r="C42" s="22" t="s">
        <v>15</v>
      </c>
      <c r="D42" s="23">
        <v>45733</v>
      </c>
      <c r="E42" s="23">
        <f>D42+1</f>
        <v>45734</v>
      </c>
      <c r="F42" s="22">
        <f t="shared" ref="F42:F50" si="2">IF(D42="","",E42-D42)</f>
        <v>1</v>
      </c>
      <c r="G42" s="24">
        <v>1</v>
      </c>
      <c r="H42" s="30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x14ac:dyDescent="0.3">
      <c r="A43" s="21" t="s">
        <v>43</v>
      </c>
      <c r="B43" s="22" t="s">
        <v>15</v>
      </c>
      <c r="C43" s="22" t="s">
        <v>15</v>
      </c>
      <c r="D43" s="23">
        <v>45733</v>
      </c>
      <c r="E43" s="23">
        <f t="shared" ref="E43:E50" si="3">D43+1</f>
        <v>45734</v>
      </c>
      <c r="F43" s="22">
        <f t="shared" si="2"/>
        <v>1</v>
      </c>
      <c r="G43" s="24">
        <v>1</v>
      </c>
      <c r="H43" s="30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x14ac:dyDescent="0.3">
      <c r="A44" s="21" t="s">
        <v>44</v>
      </c>
      <c r="B44" s="22" t="s">
        <v>45</v>
      </c>
      <c r="C44" s="22" t="s">
        <v>45</v>
      </c>
      <c r="D44" s="23">
        <v>45733</v>
      </c>
      <c r="E44" s="23">
        <f t="shared" si="3"/>
        <v>45734</v>
      </c>
      <c r="F44" s="22">
        <f t="shared" si="2"/>
        <v>1</v>
      </c>
      <c r="G44" s="24">
        <v>1</v>
      </c>
      <c r="H44" s="30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 x14ac:dyDescent="0.3">
      <c r="A45" s="21" t="s">
        <v>46</v>
      </c>
      <c r="B45" s="22" t="s">
        <v>15</v>
      </c>
      <c r="C45" s="22" t="s">
        <v>15</v>
      </c>
      <c r="D45" s="23">
        <v>45733</v>
      </c>
      <c r="E45" s="23">
        <f t="shared" si="3"/>
        <v>45734</v>
      </c>
      <c r="F45" s="22">
        <f t="shared" si="2"/>
        <v>1</v>
      </c>
      <c r="G45" s="24">
        <v>1</v>
      </c>
      <c r="H45" s="3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spans="1:39" x14ac:dyDescent="0.3">
      <c r="A46" s="21" t="s">
        <v>47</v>
      </c>
      <c r="B46" s="22" t="s">
        <v>15</v>
      </c>
      <c r="C46" s="22" t="s">
        <v>15</v>
      </c>
      <c r="D46" s="23">
        <v>45733</v>
      </c>
      <c r="E46" s="23">
        <f t="shared" si="3"/>
        <v>45734</v>
      </c>
      <c r="F46" s="22">
        <f t="shared" si="2"/>
        <v>1</v>
      </c>
      <c r="G46" s="24">
        <v>1</v>
      </c>
      <c r="H46" s="30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spans="1:39" x14ac:dyDescent="0.3">
      <c r="A47" s="21" t="s">
        <v>48</v>
      </c>
      <c r="B47" s="22" t="s">
        <v>49</v>
      </c>
      <c r="C47" s="22" t="s">
        <v>49</v>
      </c>
      <c r="D47" s="23">
        <v>45733</v>
      </c>
      <c r="E47" s="23">
        <f t="shared" si="3"/>
        <v>45734</v>
      </c>
      <c r="F47" s="22">
        <f t="shared" si="2"/>
        <v>1</v>
      </c>
      <c r="G47" s="24">
        <v>1</v>
      </c>
      <c r="H47" s="30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 x14ac:dyDescent="0.3">
      <c r="A48" s="56" t="s">
        <v>50</v>
      </c>
      <c r="B48" s="22" t="s">
        <v>49</v>
      </c>
      <c r="C48" s="22" t="s">
        <v>49</v>
      </c>
      <c r="D48" s="23">
        <v>45733</v>
      </c>
      <c r="E48" s="23">
        <f t="shared" si="3"/>
        <v>45734</v>
      </c>
      <c r="F48" s="22">
        <f t="shared" si="2"/>
        <v>1</v>
      </c>
      <c r="G48" s="24">
        <v>1</v>
      </c>
      <c r="H48" s="30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 x14ac:dyDescent="0.3">
      <c r="A49" s="56" t="s">
        <v>51</v>
      </c>
      <c r="B49" t="s">
        <v>14</v>
      </c>
      <c r="C49" t="s">
        <v>14</v>
      </c>
      <c r="D49" s="23">
        <v>45733</v>
      </c>
      <c r="E49" s="23">
        <f t="shared" si="3"/>
        <v>45734</v>
      </c>
      <c r="F49">
        <f t="shared" si="2"/>
        <v>1</v>
      </c>
      <c r="G49" s="24">
        <v>1</v>
      </c>
    </row>
    <row r="50" spans="1:39" x14ac:dyDescent="0.3">
      <c r="A50" s="56" t="s">
        <v>52</v>
      </c>
      <c r="B50" t="s">
        <v>14</v>
      </c>
      <c r="C50" t="s">
        <v>14</v>
      </c>
      <c r="D50" s="23">
        <v>45733</v>
      </c>
      <c r="E50" s="23">
        <f t="shared" si="3"/>
        <v>45734</v>
      </c>
      <c r="F50">
        <f t="shared" si="2"/>
        <v>1</v>
      </c>
      <c r="G50" s="24">
        <v>1</v>
      </c>
    </row>
    <row r="51" spans="1:39" s="20" customFormat="1" x14ac:dyDescent="0.3">
      <c r="A51" s="16" t="s">
        <v>53</v>
      </c>
      <c r="B51" s="16"/>
      <c r="C51" s="15"/>
      <c r="D51" s="17"/>
      <c r="E51" s="17"/>
      <c r="F51" s="16"/>
      <c r="G51" s="16"/>
      <c r="H51" s="18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x14ac:dyDescent="0.3">
      <c r="A52" s="21" t="s">
        <v>23</v>
      </c>
      <c r="B52" s="22" t="s">
        <v>15</v>
      </c>
      <c r="C52" s="22" t="s">
        <v>15</v>
      </c>
      <c r="D52" s="23">
        <f>E50+9</f>
        <v>45743</v>
      </c>
      <c r="E52" s="23">
        <f>D52+1</f>
        <v>45744</v>
      </c>
      <c r="F52" s="22">
        <f t="shared" ref="F52:F60" si="4">IF(D52="","",E52-D52)</f>
        <v>1</v>
      </c>
      <c r="G52" s="24">
        <v>1</v>
      </c>
      <c r="H52" s="30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 x14ac:dyDescent="0.3">
      <c r="A53" s="21" t="s">
        <v>43</v>
      </c>
      <c r="B53" s="22" t="s">
        <v>15</v>
      </c>
      <c r="C53" s="22" t="s">
        <v>15</v>
      </c>
      <c r="D53" s="23">
        <v>45743</v>
      </c>
      <c r="E53" s="23">
        <f t="shared" ref="E53" si="5">D53+1</f>
        <v>45744</v>
      </c>
      <c r="F53" s="22">
        <f t="shared" si="4"/>
        <v>1</v>
      </c>
      <c r="G53" s="24">
        <v>1</v>
      </c>
      <c r="H53" s="30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 x14ac:dyDescent="0.3">
      <c r="A54" s="21" t="s">
        <v>44</v>
      </c>
      <c r="B54" s="22" t="s">
        <v>45</v>
      </c>
      <c r="C54" s="22" t="s">
        <v>45</v>
      </c>
      <c r="D54" s="23">
        <v>45743</v>
      </c>
      <c r="E54" s="23">
        <f t="shared" ref="E54" si="6">D54+1</f>
        <v>45744</v>
      </c>
      <c r="F54" s="22">
        <f t="shared" si="4"/>
        <v>1</v>
      </c>
      <c r="G54" s="24">
        <v>1</v>
      </c>
      <c r="H54" s="30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x14ac:dyDescent="0.3">
      <c r="A55" s="21" t="s">
        <v>46</v>
      </c>
      <c r="B55" s="22" t="s">
        <v>15</v>
      </c>
      <c r="C55" s="22" t="s">
        <v>15</v>
      </c>
      <c r="D55" s="23">
        <v>45743</v>
      </c>
      <c r="E55" s="23">
        <f t="shared" ref="E55" si="7">D55+1</f>
        <v>45744</v>
      </c>
      <c r="F55" s="22">
        <f t="shared" si="4"/>
        <v>1</v>
      </c>
      <c r="G55" s="24">
        <v>1</v>
      </c>
      <c r="H55" s="30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spans="1:39" x14ac:dyDescent="0.3">
      <c r="A56" s="21" t="s">
        <v>47</v>
      </c>
      <c r="B56" s="22" t="s">
        <v>15</v>
      </c>
      <c r="C56" s="22" t="s">
        <v>15</v>
      </c>
      <c r="D56" s="23">
        <v>45743</v>
      </c>
      <c r="E56" s="23">
        <f t="shared" ref="E56" si="8">D56+1</f>
        <v>45744</v>
      </c>
      <c r="F56" s="22">
        <f t="shared" si="4"/>
        <v>1</v>
      </c>
      <c r="G56" s="24">
        <v>1</v>
      </c>
      <c r="H56" s="30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 x14ac:dyDescent="0.3">
      <c r="A57" s="21" t="s">
        <v>48</v>
      </c>
      <c r="B57" s="22" t="s">
        <v>49</v>
      </c>
      <c r="C57" s="22" t="s">
        <v>49</v>
      </c>
      <c r="D57" s="23">
        <v>45743</v>
      </c>
      <c r="E57" s="23">
        <f t="shared" ref="E57" si="9">D57+1</f>
        <v>45744</v>
      </c>
      <c r="F57" s="22">
        <f t="shared" si="4"/>
        <v>1</v>
      </c>
      <c r="G57" s="24">
        <v>1</v>
      </c>
      <c r="H57" s="30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 x14ac:dyDescent="0.3">
      <c r="A58" s="56" t="s">
        <v>50</v>
      </c>
      <c r="B58" s="22" t="s">
        <v>49</v>
      </c>
      <c r="C58" s="22" t="s">
        <v>49</v>
      </c>
      <c r="D58" s="23">
        <v>45743</v>
      </c>
      <c r="E58" s="23">
        <f t="shared" ref="E58" si="10">D58+1</f>
        <v>45744</v>
      </c>
      <c r="F58" s="22">
        <f t="shared" si="4"/>
        <v>1</v>
      </c>
      <c r="G58" s="24">
        <v>1</v>
      </c>
      <c r="H58" s="30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x14ac:dyDescent="0.3">
      <c r="A59" s="56" t="s">
        <v>51</v>
      </c>
      <c r="B59" t="s">
        <v>14</v>
      </c>
      <c r="C59" t="s">
        <v>14</v>
      </c>
      <c r="D59" s="23">
        <v>45743</v>
      </c>
      <c r="E59" s="4">
        <f>D59+3</f>
        <v>45746</v>
      </c>
      <c r="F59">
        <f t="shared" si="4"/>
        <v>3</v>
      </c>
      <c r="G59" s="24">
        <v>1</v>
      </c>
    </row>
    <row r="60" spans="1:39" x14ac:dyDescent="0.3">
      <c r="A60" s="56" t="s">
        <v>52</v>
      </c>
      <c r="B60" t="s">
        <v>14</v>
      </c>
      <c r="C60" t="s">
        <v>14</v>
      </c>
      <c r="D60" s="23">
        <v>45747</v>
      </c>
      <c r="E60" s="4">
        <f>D60+1</f>
        <v>45748</v>
      </c>
      <c r="F60">
        <f t="shared" si="4"/>
        <v>1</v>
      </c>
      <c r="G60" s="24">
        <v>1</v>
      </c>
    </row>
    <row r="61" spans="1:39" s="20" customFormat="1" x14ac:dyDescent="0.3">
      <c r="A61" s="16" t="s">
        <v>54</v>
      </c>
      <c r="B61" s="16"/>
      <c r="C61" s="15"/>
      <c r="D61" s="17"/>
      <c r="E61" s="17"/>
      <c r="F61" s="16"/>
      <c r="G61" s="16"/>
      <c r="H61" s="18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x14ac:dyDescent="0.3">
      <c r="A62" s="21" t="s">
        <v>55</v>
      </c>
      <c r="B62" s="22" t="s">
        <v>14</v>
      </c>
      <c r="C62" s="22" t="s">
        <v>56</v>
      </c>
      <c r="D62" s="23">
        <v>45845</v>
      </c>
      <c r="E62" s="23">
        <f>D62+1</f>
        <v>45846</v>
      </c>
      <c r="F62" s="22">
        <f>IF(D62="","",E62-D62)</f>
        <v>1</v>
      </c>
      <c r="G62" s="24">
        <v>1</v>
      </c>
      <c r="H62" s="30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39" x14ac:dyDescent="0.3">
      <c r="A63" s="21" t="s">
        <v>57</v>
      </c>
      <c r="B63" s="22" t="s">
        <v>14</v>
      </c>
      <c r="C63" s="22" t="s">
        <v>56</v>
      </c>
      <c r="D63" s="23">
        <v>45845</v>
      </c>
      <c r="E63" s="23">
        <f>D63+60</f>
        <v>45905</v>
      </c>
      <c r="F63" s="22">
        <f>IF(D63="","",E63-D63)</f>
        <v>60</v>
      </c>
      <c r="G63" s="24">
        <v>1</v>
      </c>
      <c r="H63" s="30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spans="1:39" s="20" customFormat="1" x14ac:dyDescent="0.3">
      <c r="A64" s="16" t="s">
        <v>58</v>
      </c>
      <c r="B64" s="16"/>
      <c r="C64" s="15"/>
      <c r="D64" s="17"/>
      <c r="E64" s="17"/>
      <c r="F64" s="16"/>
      <c r="G64" s="16"/>
      <c r="H64" s="18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x14ac:dyDescent="0.3">
      <c r="A65" s="21" t="s">
        <v>58</v>
      </c>
      <c r="B65" s="22" t="s">
        <v>14</v>
      </c>
      <c r="C65" s="22" t="s">
        <v>56</v>
      </c>
      <c r="D65" s="23">
        <f>E63+1</f>
        <v>45906</v>
      </c>
      <c r="E65" s="23">
        <f t="shared" ref="E65" si="11">D65+1</f>
        <v>45907</v>
      </c>
      <c r="F65" s="22">
        <f>IF(D65="","",E65-D65)</f>
        <v>1</v>
      </c>
      <c r="G65" s="24">
        <v>0</v>
      </c>
      <c r="H65" s="30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</sheetData>
  <conditionalFormatting sqref="G2:G4">
    <cfRule type="dataBar" priority="10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{2B6C959D-DB97-4A6C-BC0A-90B3958A6010}</x14:id>
        </ext>
      </extLst>
    </cfRule>
  </conditionalFormatting>
  <conditionalFormatting sqref="G42:G50">
    <cfRule type="dataBar" priority="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{4BA40100-FD18-48BF-82FE-978A115C44B9}</x14:id>
        </ext>
      </extLst>
    </cfRule>
  </conditionalFormatting>
  <conditionalFormatting sqref="G52:G60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{934C3AD1-342D-46AD-AEB1-558395AD2577}</x14:id>
        </ext>
      </extLst>
    </cfRule>
  </conditionalFormatting>
  <conditionalFormatting sqref="G37:H37 G39:H40 G27:H28 G10:H18 G20:H21 G23:H25 G33:H35 G30:H31">
    <cfRule type="dataBar" priority="11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{5EFAE2B8-37C5-43F6-AE8F-7E62005AE56E}</x14:id>
        </ext>
      </extLst>
    </cfRule>
  </conditionalFormatting>
  <conditionalFormatting sqref="G41:H41">
    <cfRule type="dataBar" priority="10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{C6E1AFB2-F81E-49E7-A9B9-063B75129119}</x14:id>
        </ext>
      </extLst>
    </cfRule>
  </conditionalFormatting>
  <conditionalFormatting sqref="G51:H51">
    <cfRule type="dataBar" priority="6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{60C035F6-99D5-4665-88F8-DC60699069FC}</x14:id>
        </ext>
      </extLst>
    </cfRule>
  </conditionalFormatting>
  <conditionalFormatting sqref="G61:H61">
    <cfRule type="dataBar" priority="2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{C9C3CBB8-5492-4C96-9709-8D79FC3FB3B0}</x14:id>
        </ext>
      </extLst>
    </cfRule>
  </conditionalFormatting>
  <conditionalFormatting sqref="G62:H62">
    <cfRule type="dataBar" priority="2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{A1D4758C-327E-4CA5-A549-F249F7BEB89C}</x14:id>
        </ext>
      </extLst>
    </cfRule>
  </conditionalFormatting>
  <conditionalFormatting sqref="G63:H63">
    <cfRule type="dataBar" priority="1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{33D501BD-ACC5-4990-A490-144AD2A05C40}</x14:id>
        </ext>
      </extLst>
    </cfRule>
  </conditionalFormatting>
  <conditionalFormatting sqref="G64:H64">
    <cfRule type="dataBar" priority="1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{47792F16-24F2-4A37-A4BB-B4A1FF5EECA3}</x14:id>
        </ext>
      </extLst>
    </cfRule>
  </conditionalFormatting>
  <conditionalFormatting sqref="G65:H65">
    <cfRule type="dataBar" priority="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{DC85C17C-4FB8-4BA1-97CB-C239405A0773}</x14:id>
        </ext>
      </extLst>
    </cfRule>
  </conditionalFormatting>
  <conditionalFormatting sqref="H22 H29 H26 H19">
    <cfRule type="dataBar" priority="12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{D6BE49C0-A581-4DEE-98E5-6CDCBAA3B9CA}</x14:id>
        </ext>
      </extLst>
    </cfRule>
  </conditionalFormatting>
  <conditionalFormatting sqref="H32">
    <cfRule type="dataBar" priority="11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{D80B4F25-4834-41B8-84D1-B91728E04220}</x14:id>
        </ext>
      </extLst>
    </cfRule>
  </conditionalFormatting>
  <conditionalFormatting sqref="H36">
    <cfRule type="dataBar" priority="11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{41EDF6A7-9FD8-4A71-8B58-91607EA1A4A1}</x14:id>
        </ext>
      </extLst>
    </cfRule>
  </conditionalFormatting>
  <conditionalFormatting sqref="H38">
    <cfRule type="dataBar" priority="11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{448E6D4C-66B0-493A-9B89-960EEF070929}</x14:id>
        </ext>
      </extLst>
    </cfRule>
  </conditionalFormatting>
  <conditionalFormatting sqref="H42">
    <cfRule type="dataBar" priority="9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{31140722-03D3-4C0E-8BF7-0EC2EB778EB3}</x14:id>
        </ext>
      </extLst>
    </cfRule>
  </conditionalFormatting>
  <conditionalFormatting sqref="H43">
    <cfRule type="dataBar" priority="8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{C085E9BD-5DE2-4F81-A417-D41E5464DA3E}</x14:id>
        </ext>
      </extLst>
    </cfRule>
  </conditionalFormatting>
  <conditionalFormatting sqref="H44">
    <cfRule type="dataBar" priority="8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{78464791-AB76-4625-B175-7050C1AAECD8}</x14:id>
        </ext>
      </extLst>
    </cfRule>
  </conditionalFormatting>
  <conditionalFormatting sqref="H45">
    <cfRule type="dataBar" priority="8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{912A13C4-03B3-4923-804E-472682D084C5}</x14:id>
        </ext>
      </extLst>
    </cfRule>
  </conditionalFormatting>
  <conditionalFormatting sqref="H46">
    <cfRule type="dataBar" priority="7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{48305ABD-4511-453D-96C1-F0C252F7F3D6}</x14:id>
        </ext>
      </extLst>
    </cfRule>
  </conditionalFormatting>
  <conditionalFormatting sqref="H47">
    <cfRule type="dataBar" priority="7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{501E432D-39CE-4DCA-9C71-B188B50E60FC}</x14:id>
        </ext>
      </extLst>
    </cfRule>
  </conditionalFormatting>
  <conditionalFormatting sqref="H48">
    <cfRule type="dataBar" priority="6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{8832266E-9F8F-4F7E-81D8-6B1B49ACAE84}</x14:id>
        </ext>
      </extLst>
    </cfRule>
  </conditionalFormatting>
  <conditionalFormatting sqref="H52">
    <cfRule type="dataBar" priority="5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{CF948E4F-EEA9-4032-AD42-43CF37DBCC06}</x14:id>
        </ext>
      </extLst>
    </cfRule>
  </conditionalFormatting>
  <conditionalFormatting sqref="H53">
    <cfRule type="dataBar" priority="5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{46BA74B0-76BA-4EFA-B9B3-D3F8E78971BE}</x14:id>
        </ext>
      </extLst>
    </cfRule>
  </conditionalFormatting>
  <conditionalFormatting sqref="H54">
    <cfRule type="dataBar" priority="5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{0DED51AA-CE8C-4F60-831E-1FD947BB20EA}</x14:id>
        </ext>
      </extLst>
    </cfRule>
  </conditionalFormatting>
  <conditionalFormatting sqref="H55">
    <cfRule type="dataBar" priority="4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{A7E8E422-7CFF-4B20-8FA0-56C7A78B5077}</x14:id>
        </ext>
      </extLst>
    </cfRule>
  </conditionalFormatting>
  <conditionalFormatting sqref="H56">
    <cfRule type="dataBar" priority="4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{CD131442-552F-40A5-835D-6E68990E15D4}</x14:id>
        </ext>
      </extLst>
    </cfRule>
  </conditionalFormatting>
  <conditionalFormatting sqref="H57">
    <cfRule type="dataBar" priority="3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{602FF8EE-99CB-4AB1-AB18-8E020C0EF301}</x14:id>
        </ext>
      </extLst>
    </cfRule>
  </conditionalFormatting>
  <conditionalFormatting sqref="H58">
    <cfRule type="dataBar" priority="3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{C74B2193-7E00-4E6B-8045-E6B36060A0AE}</x14:id>
        </ext>
      </extLst>
    </cfRule>
  </conditionalFormatting>
  <conditionalFormatting sqref="I10:AB18 I19:AM40 I62:AM63 I64:AB64 I65:AM65">
    <cfRule type="expression" dxfId="23" priority="118">
      <formula>AND(J$8&gt;=$D10,J$8&lt;=$D10+($F10*$G10)-1)</formula>
    </cfRule>
    <cfRule type="expression" dxfId="22" priority="120">
      <formula>AND(J$8 &gt;= $D10,J$8 &lt;= $E10)</formula>
    </cfRule>
  </conditionalFormatting>
  <conditionalFormatting sqref="I41:AB41">
    <cfRule type="expression" dxfId="21" priority="102">
      <formula>AND(J$8&gt;=$D41,J$8&lt;=$D41+($F41*$G41)-1)</formula>
    </cfRule>
    <cfRule type="expression" dxfId="20" priority="104">
      <formula>AND(J$8 &gt;= $D41,J$8 &lt;= $E41)</formula>
    </cfRule>
  </conditionalFormatting>
  <conditionalFormatting sqref="I51:AB51">
    <cfRule type="expression" dxfId="19" priority="63">
      <formula>AND(J$8&gt;=$D51,J$8&lt;=$D51+($F51*$G51)-1)</formula>
    </cfRule>
    <cfRule type="expression" dxfId="18" priority="65">
      <formula>AND(J$8 &gt;= $D51,J$8 &lt;= $E51)</formula>
    </cfRule>
  </conditionalFormatting>
  <conditionalFormatting sqref="I61:AB61">
    <cfRule type="expression" dxfId="17" priority="28">
      <formula>AND(J$8&gt;=$D61,J$8&lt;=$D61+($F61*$G61)-1)</formula>
    </cfRule>
    <cfRule type="expression" dxfId="16" priority="30">
      <formula>AND(J$8 &gt;= $D61,J$8 &lt;= $E61)</formula>
    </cfRule>
  </conditionalFormatting>
  <conditionalFormatting sqref="I8:AM48 I61:AM65">
    <cfRule type="expression" dxfId="15" priority="67">
      <formula>I$9=$C$5</formula>
    </cfRule>
  </conditionalFormatting>
  <conditionalFormatting sqref="I42:AM48">
    <cfRule type="expression" dxfId="14" priority="68">
      <formula>AND(J$8&gt;=$D42,J$8&lt;=$D42+($F42*$G42)-1)</formula>
    </cfRule>
    <cfRule type="expression" dxfId="13" priority="70">
      <formula>AND(J$8 &gt;= $D42,J$8 &lt;= $E42)</formula>
    </cfRule>
  </conditionalFormatting>
  <conditionalFormatting sqref="I51:AM58">
    <cfRule type="expression" dxfId="12" priority="32">
      <formula>I$9=$C$5</formula>
    </cfRule>
  </conditionalFormatting>
  <conditionalFormatting sqref="I52:AM58">
    <cfRule type="expression" dxfId="11" priority="33">
      <formula>AND(J$8&gt;=$D52,J$8&lt;=$D52+($F52*$G52)-1)</formula>
    </cfRule>
    <cfRule type="expression" dxfId="10" priority="35">
      <formula>AND(J$8 &gt;= $D52,J$8 &lt;= $E52)</formula>
    </cfRule>
  </conditionalFormatting>
  <conditionalFormatting sqref="AC10:AM18">
    <cfRule type="expression" dxfId="9" priority="111">
      <formula>AND(#REF!&gt;=$D10,#REF!&lt;=$D10+($F10*$G10)-1)</formula>
    </cfRule>
    <cfRule type="expression" dxfId="8" priority="112">
      <formula>AND(#REF! &gt;= $D10,#REF! &lt;= $E10)</formula>
    </cfRule>
  </conditionalFormatting>
  <conditionalFormatting sqref="AC41:AM41">
    <cfRule type="expression" dxfId="7" priority="100">
      <formula>AND(#REF!&gt;=$D41,#REF!&lt;=$D41+($F41*$G41)-1)</formula>
    </cfRule>
    <cfRule type="expression" dxfId="6" priority="101">
      <formula>AND(#REF! &gt;= $D41,#REF! &lt;= $E41)</formula>
    </cfRule>
  </conditionalFormatting>
  <conditionalFormatting sqref="AC51:AM51">
    <cfRule type="expression" dxfId="5" priority="61">
      <formula>AND(#REF!&gt;=$D51,#REF!&lt;=$D51+($F51*$G51)-1)</formula>
    </cfRule>
    <cfRule type="expression" dxfId="4" priority="62">
      <formula>AND(#REF! &gt;= $D51,#REF! &lt;= $E51)</formula>
    </cfRule>
  </conditionalFormatting>
  <conditionalFormatting sqref="AC61:AM61">
    <cfRule type="expression" dxfId="3" priority="26">
      <formula>AND(#REF!&gt;=$D61,#REF!&lt;=$D61+($F61*$G61)-1)</formula>
    </cfRule>
    <cfRule type="expression" dxfId="2" priority="27">
      <formula>AND(#REF! &gt;= $D61,#REF! &lt;= $E61)</formula>
    </cfRule>
  </conditionalFormatting>
  <conditionalFormatting sqref="AC64:AM64">
    <cfRule type="expression" dxfId="1" priority="8">
      <formula>AND(#REF!&gt;=$D64,#REF!&lt;=$D64+($F64*$G64)-1)</formula>
    </cfRule>
    <cfRule type="expression" dxfId="0" priority="9">
      <formula>AND(#REF! &gt;= $D64,#REF! &lt;= $E64)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6C959D-DB97-4A6C-BC0A-90B3958A60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G2:G4</xm:sqref>
        </x14:conditionalFormatting>
        <x14:conditionalFormatting xmlns:xm="http://schemas.microsoft.com/office/excel/2006/main">
          <x14:cfRule type="dataBar" id="{4BA40100-FD18-48BF-82FE-978A115C44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G42:G50</xm:sqref>
        </x14:conditionalFormatting>
        <x14:conditionalFormatting xmlns:xm="http://schemas.microsoft.com/office/excel/2006/main">
          <x14:cfRule type="dataBar" id="{934C3AD1-342D-46AD-AEB1-558395AD25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G52:G60</xm:sqref>
        </x14:conditionalFormatting>
        <x14:conditionalFormatting xmlns:xm="http://schemas.microsoft.com/office/excel/2006/main">
          <x14:cfRule type="dataBar" id="{5EFAE2B8-37C5-43F6-AE8F-7E62005AE5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G37:H37 G39:H40 G27:H28 G10:H18 G20:H21 G23:H25 G33:H35 G30:H31</xm:sqref>
        </x14:conditionalFormatting>
        <x14:conditionalFormatting xmlns:xm="http://schemas.microsoft.com/office/excel/2006/main">
          <x14:cfRule type="dataBar" id="{C6E1AFB2-F81E-49E7-A9B9-063B751291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G41:H41</xm:sqref>
        </x14:conditionalFormatting>
        <x14:conditionalFormatting xmlns:xm="http://schemas.microsoft.com/office/excel/2006/main">
          <x14:cfRule type="dataBar" id="{60C035F6-99D5-4665-88F8-DC60699069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G51:H51</xm:sqref>
        </x14:conditionalFormatting>
        <x14:conditionalFormatting xmlns:xm="http://schemas.microsoft.com/office/excel/2006/main">
          <x14:cfRule type="dataBar" id="{C9C3CBB8-5492-4C96-9709-8D79FC3FB3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G61:H61</xm:sqref>
        </x14:conditionalFormatting>
        <x14:conditionalFormatting xmlns:xm="http://schemas.microsoft.com/office/excel/2006/main">
          <x14:cfRule type="dataBar" id="{A1D4758C-327E-4CA5-A549-F249F7BEB8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G62:H62</xm:sqref>
        </x14:conditionalFormatting>
        <x14:conditionalFormatting xmlns:xm="http://schemas.microsoft.com/office/excel/2006/main">
          <x14:cfRule type="dataBar" id="{33D501BD-ACC5-4990-A490-144AD2A05C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G63:H63</xm:sqref>
        </x14:conditionalFormatting>
        <x14:conditionalFormatting xmlns:xm="http://schemas.microsoft.com/office/excel/2006/main">
          <x14:cfRule type="dataBar" id="{47792F16-24F2-4A37-A4BB-B4A1FF5EEC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G64:H64</xm:sqref>
        </x14:conditionalFormatting>
        <x14:conditionalFormatting xmlns:xm="http://schemas.microsoft.com/office/excel/2006/main">
          <x14:cfRule type="dataBar" id="{DC85C17C-4FB8-4BA1-97CB-C239405A07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G65:H65</xm:sqref>
        </x14:conditionalFormatting>
        <x14:conditionalFormatting xmlns:xm="http://schemas.microsoft.com/office/excel/2006/main">
          <x14:cfRule type="dataBar" id="{D6BE49C0-A581-4DEE-98E5-6CDCBAA3B9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H22 H29 H26 H19</xm:sqref>
        </x14:conditionalFormatting>
        <x14:conditionalFormatting xmlns:xm="http://schemas.microsoft.com/office/excel/2006/main">
          <x14:cfRule type="dataBar" id="{D80B4F25-4834-41B8-84D1-B91728E042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41EDF6A7-9FD8-4A71-8B58-91607EA1A4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H36</xm:sqref>
        </x14:conditionalFormatting>
        <x14:conditionalFormatting xmlns:xm="http://schemas.microsoft.com/office/excel/2006/main">
          <x14:cfRule type="dataBar" id="{448E6D4C-66B0-493A-9B89-960EEF0709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H38</xm:sqref>
        </x14:conditionalFormatting>
        <x14:conditionalFormatting xmlns:xm="http://schemas.microsoft.com/office/excel/2006/main">
          <x14:cfRule type="dataBar" id="{31140722-03D3-4C0E-8BF7-0EC2EB778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H42</xm:sqref>
        </x14:conditionalFormatting>
        <x14:conditionalFormatting xmlns:xm="http://schemas.microsoft.com/office/excel/2006/main">
          <x14:cfRule type="dataBar" id="{C085E9BD-5DE2-4F81-A417-D41E5464DA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78464791-AB76-4625-B175-7050C1AAEC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H44</xm:sqref>
        </x14:conditionalFormatting>
        <x14:conditionalFormatting xmlns:xm="http://schemas.microsoft.com/office/excel/2006/main">
          <x14:cfRule type="dataBar" id="{912A13C4-03B3-4923-804E-472682D084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H45</xm:sqref>
        </x14:conditionalFormatting>
        <x14:conditionalFormatting xmlns:xm="http://schemas.microsoft.com/office/excel/2006/main">
          <x14:cfRule type="dataBar" id="{48305ABD-4511-453D-96C1-F0C252F7F3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H46</xm:sqref>
        </x14:conditionalFormatting>
        <x14:conditionalFormatting xmlns:xm="http://schemas.microsoft.com/office/excel/2006/main">
          <x14:cfRule type="dataBar" id="{501E432D-39CE-4DCA-9C71-B188B50E60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H47</xm:sqref>
        </x14:conditionalFormatting>
        <x14:conditionalFormatting xmlns:xm="http://schemas.microsoft.com/office/excel/2006/main">
          <x14:cfRule type="dataBar" id="{8832266E-9F8F-4F7E-81D8-6B1B49ACAE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CF948E4F-EEA9-4032-AD42-43CF37DBCC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H52</xm:sqref>
        </x14:conditionalFormatting>
        <x14:conditionalFormatting xmlns:xm="http://schemas.microsoft.com/office/excel/2006/main">
          <x14:cfRule type="dataBar" id="{46BA74B0-76BA-4EFA-B9B3-D3F8E7897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H53</xm:sqref>
        </x14:conditionalFormatting>
        <x14:conditionalFormatting xmlns:xm="http://schemas.microsoft.com/office/excel/2006/main">
          <x14:cfRule type="dataBar" id="{0DED51AA-CE8C-4F60-831E-1FD947BB20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H54</xm:sqref>
        </x14:conditionalFormatting>
        <x14:conditionalFormatting xmlns:xm="http://schemas.microsoft.com/office/excel/2006/main">
          <x14:cfRule type="dataBar" id="{A7E8E422-7CFF-4B20-8FA0-56C7A78B50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CD131442-552F-40A5-835D-6E68990E15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H56</xm:sqref>
        </x14:conditionalFormatting>
        <x14:conditionalFormatting xmlns:xm="http://schemas.microsoft.com/office/excel/2006/main">
          <x14:cfRule type="dataBar" id="{602FF8EE-99CB-4AB1-AB18-8E020C0EF3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H57</xm:sqref>
        </x14:conditionalFormatting>
        <x14:conditionalFormatting xmlns:xm="http://schemas.microsoft.com/office/excel/2006/main">
          <x14:cfRule type="dataBar" id="{C74B2193-7E00-4E6B-8045-E6B36060A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1EE9-3E6D-4BC1-B5FF-E9C39F3D6D86}">
  <dimension ref="A1:J9"/>
  <sheetViews>
    <sheetView workbookViewId="0">
      <selection activeCell="B9" sqref="B9"/>
    </sheetView>
  </sheetViews>
  <sheetFormatPr defaultRowHeight="14.4" x14ac:dyDescent="0.3"/>
  <cols>
    <col min="1" max="1" width="42.109375" customWidth="1"/>
    <col min="2" max="2" width="62.6640625" customWidth="1"/>
    <col min="3" max="3" width="38.6640625" customWidth="1"/>
    <col min="4" max="4" width="11.88671875" bestFit="1" customWidth="1"/>
    <col min="5" max="5" width="11.6640625" bestFit="1" customWidth="1"/>
    <col min="6" max="6" width="12.33203125" bestFit="1" customWidth="1"/>
    <col min="7" max="7" width="8.6640625" bestFit="1" customWidth="1"/>
    <col min="8" max="8" width="4.33203125" bestFit="1" customWidth="1"/>
    <col min="10" max="10" width="19.6640625" bestFit="1" customWidth="1"/>
  </cols>
  <sheetData>
    <row r="1" spans="1:10" x14ac:dyDescent="0.3">
      <c r="A1" t="s">
        <v>59</v>
      </c>
      <c r="B1" t="s">
        <v>60</v>
      </c>
      <c r="C1" t="s">
        <v>61</v>
      </c>
    </row>
    <row r="3" spans="1:10" x14ac:dyDescent="0.3">
      <c r="A3" t="s">
        <v>62</v>
      </c>
    </row>
    <row r="4" spans="1:10" x14ac:dyDescent="0.3">
      <c r="A4" t="s">
        <v>63</v>
      </c>
      <c r="B4" t="s">
        <v>64</v>
      </c>
      <c r="C4" t="s">
        <v>65</v>
      </c>
      <c r="D4" t="s">
        <v>66</v>
      </c>
    </row>
    <row r="5" spans="1:10" x14ac:dyDescent="0.3">
      <c r="B5" t="s">
        <v>67</v>
      </c>
      <c r="C5" t="s">
        <v>68</v>
      </c>
      <c r="D5" t="s">
        <v>69</v>
      </c>
    </row>
    <row r="6" spans="1:10" x14ac:dyDescent="0.3">
      <c r="B6" t="s">
        <v>70</v>
      </c>
    </row>
    <row r="7" spans="1:10" x14ac:dyDescent="0.3">
      <c r="A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</row>
    <row r="8" spans="1:10" x14ac:dyDescent="0.3">
      <c r="D8" t="s">
        <v>72</v>
      </c>
      <c r="E8" t="s">
        <v>77</v>
      </c>
      <c r="F8" t="s">
        <v>78</v>
      </c>
      <c r="J8" t="s">
        <v>79</v>
      </c>
    </row>
    <row r="9" spans="1:10" x14ac:dyDescent="0.3">
      <c r="A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0DB8-D447-4C52-834C-52C7656CE9BC}">
  <dimension ref="A1:I45"/>
  <sheetViews>
    <sheetView workbookViewId="0">
      <selection activeCell="B45" sqref="B45"/>
    </sheetView>
  </sheetViews>
  <sheetFormatPr defaultRowHeight="14.4" x14ac:dyDescent="0.3"/>
  <cols>
    <col min="1" max="1" width="3.33203125" style="34" bestFit="1" customWidth="1"/>
    <col min="2" max="2" width="86.109375" bestFit="1" customWidth="1"/>
    <col min="3" max="3" width="11" bestFit="1" customWidth="1"/>
    <col min="4" max="4" width="12.88671875" bestFit="1" customWidth="1"/>
    <col min="5" max="5" width="15" bestFit="1" customWidth="1"/>
    <col min="6" max="6" width="13.88671875" customWidth="1"/>
    <col min="7" max="7" width="19.33203125" bestFit="1" customWidth="1"/>
    <col min="8" max="8" width="14.6640625" style="47" bestFit="1" customWidth="1"/>
    <col min="9" max="9" width="45.33203125" bestFit="1" customWidth="1"/>
  </cols>
  <sheetData>
    <row r="1" spans="1:9" s="35" customFormat="1" x14ac:dyDescent="0.3">
      <c r="A1" s="36" t="s">
        <v>81</v>
      </c>
      <c r="B1" s="37" t="s">
        <v>82</v>
      </c>
      <c r="C1" s="37" t="s">
        <v>83</v>
      </c>
      <c r="D1" s="37" t="s">
        <v>84</v>
      </c>
      <c r="E1" s="37" t="s">
        <v>85</v>
      </c>
      <c r="F1" s="37" t="s">
        <v>86</v>
      </c>
      <c r="G1" s="37" t="s">
        <v>87</v>
      </c>
      <c r="H1" s="44" t="s">
        <v>88</v>
      </c>
      <c r="I1" s="37" t="s">
        <v>89</v>
      </c>
    </row>
    <row r="2" spans="1:9" x14ac:dyDescent="0.3">
      <c r="A2" s="38">
        <v>1</v>
      </c>
      <c r="B2" s="39" t="s">
        <v>90</v>
      </c>
      <c r="C2" s="39" t="s">
        <v>91</v>
      </c>
      <c r="D2" s="39" t="s">
        <v>92</v>
      </c>
      <c r="E2" s="39" t="s">
        <v>14</v>
      </c>
      <c r="F2" s="40" t="s">
        <v>93</v>
      </c>
      <c r="G2" s="41" t="s">
        <v>94</v>
      </c>
      <c r="H2" s="45" t="s">
        <v>95</v>
      </c>
      <c r="I2" s="39" t="s">
        <v>96</v>
      </c>
    </row>
    <row r="3" spans="1:9" x14ac:dyDescent="0.3">
      <c r="A3" s="38">
        <v>2</v>
      </c>
      <c r="B3" s="39" t="s">
        <v>97</v>
      </c>
      <c r="C3" s="39" t="s">
        <v>91</v>
      </c>
      <c r="D3" s="39" t="s">
        <v>92</v>
      </c>
      <c r="E3" s="39" t="s">
        <v>14</v>
      </c>
      <c r="F3" s="40" t="s">
        <v>93</v>
      </c>
      <c r="G3" s="41" t="s">
        <v>94</v>
      </c>
      <c r="H3" s="45" t="s">
        <v>95</v>
      </c>
      <c r="I3" s="39" t="s">
        <v>96</v>
      </c>
    </row>
    <row r="4" spans="1:9" x14ac:dyDescent="0.3">
      <c r="A4" s="38">
        <v>3</v>
      </c>
      <c r="B4" s="39" t="s">
        <v>98</v>
      </c>
      <c r="C4" s="39" t="s">
        <v>91</v>
      </c>
      <c r="D4" s="39" t="s">
        <v>92</v>
      </c>
      <c r="E4" s="39" t="s">
        <v>14</v>
      </c>
      <c r="F4" s="43" t="s">
        <v>99</v>
      </c>
      <c r="G4" s="41" t="s">
        <v>94</v>
      </c>
      <c r="H4" s="45" t="s">
        <v>95</v>
      </c>
      <c r="I4" s="39" t="s">
        <v>96</v>
      </c>
    </row>
    <row r="5" spans="1:9" x14ac:dyDescent="0.3">
      <c r="A5" s="38">
        <v>4</v>
      </c>
      <c r="B5" s="39" t="s">
        <v>100</v>
      </c>
      <c r="C5" s="39" t="s">
        <v>91</v>
      </c>
      <c r="D5" s="39" t="s">
        <v>92</v>
      </c>
      <c r="E5" s="39" t="s">
        <v>14</v>
      </c>
      <c r="F5" s="40" t="s">
        <v>93</v>
      </c>
      <c r="G5" s="41" t="s">
        <v>94</v>
      </c>
      <c r="H5" s="45" t="s">
        <v>95</v>
      </c>
      <c r="I5" s="39" t="s">
        <v>96</v>
      </c>
    </row>
    <row r="6" spans="1:9" x14ac:dyDescent="0.3">
      <c r="A6" s="38">
        <v>5</v>
      </c>
      <c r="B6" s="39" t="s">
        <v>101</v>
      </c>
      <c r="C6" s="39" t="s">
        <v>91</v>
      </c>
      <c r="D6" s="39" t="s">
        <v>92</v>
      </c>
      <c r="E6" s="39" t="s">
        <v>14</v>
      </c>
      <c r="F6" s="40" t="s">
        <v>93</v>
      </c>
      <c r="G6" s="41" t="s">
        <v>94</v>
      </c>
      <c r="H6" s="45" t="s">
        <v>95</v>
      </c>
      <c r="I6" s="39" t="s">
        <v>96</v>
      </c>
    </row>
    <row r="7" spans="1:9" x14ac:dyDescent="0.3">
      <c r="A7" s="38">
        <v>6</v>
      </c>
      <c r="B7" s="39" t="s">
        <v>102</v>
      </c>
      <c r="C7" s="39" t="s">
        <v>91</v>
      </c>
      <c r="D7" s="39" t="s">
        <v>92</v>
      </c>
      <c r="E7" s="39" t="s">
        <v>14</v>
      </c>
      <c r="F7" s="40" t="s">
        <v>93</v>
      </c>
      <c r="G7" s="41" t="s">
        <v>94</v>
      </c>
      <c r="H7" s="45"/>
      <c r="I7" s="39"/>
    </row>
    <row r="8" spans="1:9" x14ac:dyDescent="0.3">
      <c r="A8" s="38">
        <v>7</v>
      </c>
      <c r="B8" s="39" t="s">
        <v>103</v>
      </c>
      <c r="C8" s="39" t="s">
        <v>91</v>
      </c>
      <c r="D8" s="39" t="s">
        <v>92</v>
      </c>
      <c r="E8" s="39" t="s">
        <v>14</v>
      </c>
      <c r="F8" s="43" t="s">
        <v>99</v>
      </c>
      <c r="G8" s="41" t="s">
        <v>94</v>
      </c>
      <c r="H8" s="46">
        <v>45624</v>
      </c>
      <c r="I8" s="39" t="s">
        <v>96</v>
      </c>
    </row>
    <row r="9" spans="1:9" x14ac:dyDescent="0.3">
      <c r="A9" s="38">
        <v>8</v>
      </c>
      <c r="B9" s="39" t="s">
        <v>104</v>
      </c>
      <c r="C9" s="39" t="s">
        <v>91</v>
      </c>
      <c r="D9" s="39" t="s">
        <v>92</v>
      </c>
      <c r="E9" s="39" t="s">
        <v>14</v>
      </c>
      <c r="F9" s="40" t="s">
        <v>93</v>
      </c>
      <c r="G9" s="41" t="s">
        <v>94</v>
      </c>
      <c r="H9" s="46">
        <v>45625</v>
      </c>
      <c r="I9" s="39" t="s">
        <v>96</v>
      </c>
    </row>
    <row r="10" spans="1:9" x14ac:dyDescent="0.3">
      <c r="A10" s="38">
        <v>9</v>
      </c>
      <c r="B10" s="39" t="s">
        <v>105</v>
      </c>
      <c r="C10" s="39" t="s">
        <v>91</v>
      </c>
      <c r="D10" s="39" t="s">
        <v>92</v>
      </c>
      <c r="E10" s="39" t="s">
        <v>14</v>
      </c>
      <c r="F10" s="40" t="s">
        <v>93</v>
      </c>
      <c r="G10" s="41" t="s">
        <v>94</v>
      </c>
      <c r="H10" s="45" t="s">
        <v>95</v>
      </c>
      <c r="I10" s="39" t="s">
        <v>96</v>
      </c>
    </row>
    <row r="11" spans="1:9" s="48" customFormat="1" x14ac:dyDescent="0.3">
      <c r="A11" s="38">
        <v>10</v>
      </c>
      <c r="B11" s="63" t="s">
        <v>106</v>
      </c>
      <c r="C11" s="63" t="s">
        <v>91</v>
      </c>
      <c r="D11" s="63" t="s">
        <v>92</v>
      </c>
      <c r="E11" s="63" t="s">
        <v>14</v>
      </c>
      <c r="F11" s="40" t="s">
        <v>93</v>
      </c>
      <c r="G11" s="41" t="s">
        <v>94</v>
      </c>
      <c r="H11" s="64"/>
      <c r="I11" s="63" t="s">
        <v>107</v>
      </c>
    </row>
    <row r="12" spans="1:9" x14ac:dyDescent="0.3">
      <c r="A12" s="38">
        <v>11</v>
      </c>
      <c r="B12" s="39" t="s">
        <v>108</v>
      </c>
      <c r="C12" s="39" t="s">
        <v>91</v>
      </c>
      <c r="D12" s="39" t="s">
        <v>92</v>
      </c>
      <c r="E12" s="39" t="s">
        <v>14</v>
      </c>
      <c r="F12" s="40" t="s">
        <v>93</v>
      </c>
      <c r="G12" s="41" t="s">
        <v>94</v>
      </c>
      <c r="H12" s="46">
        <v>45630</v>
      </c>
      <c r="I12" s="39" t="s">
        <v>96</v>
      </c>
    </row>
    <row r="13" spans="1:9" x14ac:dyDescent="0.3">
      <c r="A13" s="38">
        <v>12</v>
      </c>
      <c r="B13" s="39" t="s">
        <v>109</v>
      </c>
      <c r="C13" s="39" t="s">
        <v>91</v>
      </c>
      <c r="D13" s="39" t="s">
        <v>92</v>
      </c>
      <c r="E13" s="39" t="s">
        <v>14</v>
      </c>
      <c r="F13" s="43" t="s">
        <v>99</v>
      </c>
      <c r="G13" s="41" t="s">
        <v>94</v>
      </c>
      <c r="H13" s="46">
        <v>45637</v>
      </c>
      <c r="I13" s="39" t="s">
        <v>96</v>
      </c>
    </row>
    <row r="14" spans="1:9" x14ac:dyDescent="0.3">
      <c r="A14" s="38">
        <v>13</v>
      </c>
      <c r="B14" s="39" t="s">
        <v>110</v>
      </c>
      <c r="C14" s="39" t="s">
        <v>91</v>
      </c>
      <c r="D14" s="39" t="s">
        <v>92</v>
      </c>
      <c r="E14" s="39" t="s">
        <v>14</v>
      </c>
      <c r="F14" s="43" t="s">
        <v>99</v>
      </c>
      <c r="G14" s="41" t="s">
        <v>94</v>
      </c>
      <c r="H14" s="46">
        <v>45566</v>
      </c>
      <c r="I14" s="39" t="s">
        <v>96</v>
      </c>
    </row>
    <row r="15" spans="1:9" x14ac:dyDescent="0.3">
      <c r="A15" s="38">
        <v>14</v>
      </c>
      <c r="B15" s="39" t="s">
        <v>111</v>
      </c>
      <c r="C15" s="39" t="s">
        <v>112</v>
      </c>
      <c r="D15" s="39" t="s">
        <v>113</v>
      </c>
      <c r="E15" s="39" t="s">
        <v>14</v>
      </c>
      <c r="F15" s="43" t="s">
        <v>99</v>
      </c>
      <c r="G15" s="42" t="s">
        <v>114</v>
      </c>
      <c r="H15" s="46"/>
      <c r="I15" s="39" t="s">
        <v>115</v>
      </c>
    </row>
    <row r="16" spans="1:9" x14ac:dyDescent="0.3">
      <c r="A16" s="38">
        <v>15</v>
      </c>
      <c r="B16" s="39" t="s">
        <v>116</v>
      </c>
      <c r="C16" s="39" t="s">
        <v>112</v>
      </c>
      <c r="D16" s="39" t="s">
        <v>113</v>
      </c>
      <c r="E16" s="39" t="s">
        <v>14</v>
      </c>
      <c r="F16" s="43" t="s">
        <v>99</v>
      </c>
      <c r="G16" s="42" t="s">
        <v>114</v>
      </c>
      <c r="H16" s="46"/>
      <c r="I16" s="39" t="s">
        <v>115</v>
      </c>
    </row>
    <row r="17" spans="1:9" x14ac:dyDescent="0.3">
      <c r="A17" s="38">
        <v>16</v>
      </c>
      <c r="B17" s="39" t="s">
        <v>117</v>
      </c>
      <c r="C17" s="39" t="s">
        <v>118</v>
      </c>
      <c r="D17" s="39" t="s">
        <v>113</v>
      </c>
      <c r="E17" s="39" t="s">
        <v>14</v>
      </c>
      <c r="F17" s="43" t="s">
        <v>99</v>
      </c>
      <c r="G17" s="42" t="s">
        <v>114</v>
      </c>
      <c r="H17" s="45"/>
      <c r="I17" s="39" t="s">
        <v>115</v>
      </c>
    </row>
    <row r="18" spans="1:9" x14ac:dyDescent="0.3">
      <c r="A18" s="38">
        <v>17</v>
      </c>
      <c r="B18" s="39" t="s">
        <v>119</v>
      </c>
      <c r="C18" s="39" t="s">
        <v>112</v>
      </c>
      <c r="D18" s="39" t="s">
        <v>113</v>
      </c>
      <c r="E18" s="39" t="s">
        <v>14</v>
      </c>
      <c r="F18" s="43" t="s">
        <v>99</v>
      </c>
      <c r="G18" s="42" t="s">
        <v>114</v>
      </c>
      <c r="H18" s="45"/>
      <c r="I18" s="39" t="s">
        <v>115</v>
      </c>
    </row>
    <row r="19" spans="1:9" x14ac:dyDescent="0.3">
      <c r="A19" s="38">
        <v>18</v>
      </c>
      <c r="B19" s="39" t="s">
        <v>120</v>
      </c>
      <c r="C19" s="39" t="s">
        <v>118</v>
      </c>
      <c r="D19" s="39" t="s">
        <v>113</v>
      </c>
      <c r="E19" s="39" t="s">
        <v>14</v>
      </c>
      <c r="F19" s="43" t="s">
        <v>99</v>
      </c>
      <c r="G19" s="41" t="s">
        <v>94</v>
      </c>
      <c r="H19" s="45"/>
      <c r="I19" s="39" t="s">
        <v>115</v>
      </c>
    </row>
    <row r="20" spans="1:9" x14ac:dyDescent="0.3">
      <c r="A20" s="38">
        <v>19</v>
      </c>
      <c r="B20" s="39" t="s">
        <v>121</v>
      </c>
      <c r="C20" s="39" t="s">
        <v>122</v>
      </c>
      <c r="D20" s="39" t="s">
        <v>113</v>
      </c>
      <c r="E20" s="39" t="s">
        <v>14</v>
      </c>
      <c r="F20" s="43" t="s">
        <v>99</v>
      </c>
      <c r="G20" s="41" t="s">
        <v>94</v>
      </c>
      <c r="H20" s="45"/>
      <c r="I20" s="39" t="s">
        <v>123</v>
      </c>
    </row>
    <row r="21" spans="1:9" x14ac:dyDescent="0.3">
      <c r="A21" s="38">
        <v>20</v>
      </c>
      <c r="B21" s="39" t="s">
        <v>124</v>
      </c>
      <c r="C21" s="39" t="s">
        <v>112</v>
      </c>
      <c r="D21" s="39" t="s">
        <v>113</v>
      </c>
      <c r="E21" s="39" t="s">
        <v>14</v>
      </c>
      <c r="F21" s="43" t="s">
        <v>99</v>
      </c>
      <c r="G21" s="41" t="s">
        <v>94</v>
      </c>
      <c r="H21" s="46">
        <v>45566</v>
      </c>
      <c r="I21" s="39" t="s">
        <v>96</v>
      </c>
    </row>
    <row r="22" spans="1:9" x14ac:dyDescent="0.3">
      <c r="A22" s="38">
        <v>21</v>
      </c>
      <c r="B22" s="39" t="s">
        <v>125</v>
      </c>
      <c r="C22" s="39" t="s">
        <v>112</v>
      </c>
      <c r="D22" s="39" t="s">
        <v>113</v>
      </c>
      <c r="E22" s="39" t="s">
        <v>14</v>
      </c>
      <c r="F22" s="43" t="s">
        <v>99</v>
      </c>
      <c r="G22" s="41" t="s">
        <v>94</v>
      </c>
      <c r="H22" s="45"/>
      <c r="I22" s="39" t="s">
        <v>115</v>
      </c>
    </row>
    <row r="23" spans="1:9" x14ac:dyDescent="0.3">
      <c r="A23" s="38">
        <v>22</v>
      </c>
      <c r="B23" s="39" t="s">
        <v>126</v>
      </c>
      <c r="C23" s="39" t="s">
        <v>127</v>
      </c>
      <c r="D23" s="65">
        <v>45849</v>
      </c>
      <c r="E23" s="39" t="s">
        <v>14</v>
      </c>
      <c r="F23" s="40" t="s">
        <v>93</v>
      </c>
      <c r="G23" s="41" t="s">
        <v>94</v>
      </c>
      <c r="H23" s="45"/>
      <c r="I23" s="39"/>
    </row>
    <row r="24" spans="1:9" x14ac:dyDescent="0.3">
      <c r="A24" s="38">
        <v>23</v>
      </c>
      <c r="B24" s="39" t="s">
        <v>128</v>
      </c>
      <c r="C24" s="39" t="s">
        <v>69</v>
      </c>
      <c r="D24" s="65">
        <v>45849</v>
      </c>
      <c r="E24" s="39" t="s">
        <v>14</v>
      </c>
      <c r="F24" s="40" t="s">
        <v>93</v>
      </c>
      <c r="G24" s="41" t="s">
        <v>94</v>
      </c>
      <c r="H24" s="45"/>
      <c r="I24" s="39"/>
    </row>
    <row r="25" spans="1:9" x14ac:dyDescent="0.3">
      <c r="A25" s="38">
        <v>24</v>
      </c>
      <c r="B25" s="39" t="s">
        <v>129</v>
      </c>
      <c r="C25" s="39" t="s">
        <v>91</v>
      </c>
      <c r="D25" s="65">
        <v>45849</v>
      </c>
      <c r="E25" s="39" t="s">
        <v>14</v>
      </c>
      <c r="F25" s="40" t="s">
        <v>93</v>
      </c>
      <c r="G25" s="41" t="s">
        <v>94</v>
      </c>
      <c r="H25" s="45"/>
      <c r="I25" s="39"/>
    </row>
    <row r="26" spans="1:9" x14ac:dyDescent="0.3">
      <c r="A26" s="38">
        <v>25</v>
      </c>
      <c r="B26" s="39" t="s">
        <v>130</v>
      </c>
      <c r="C26" s="39" t="s">
        <v>69</v>
      </c>
      <c r="D26" s="65">
        <v>45849</v>
      </c>
      <c r="E26" s="39" t="s">
        <v>14</v>
      </c>
      <c r="F26" s="40" t="s">
        <v>93</v>
      </c>
      <c r="G26" s="41" t="s">
        <v>94</v>
      </c>
      <c r="H26" s="45"/>
      <c r="I26" s="39"/>
    </row>
    <row r="27" spans="1:9" x14ac:dyDescent="0.3">
      <c r="A27" s="38">
        <v>26</v>
      </c>
      <c r="B27" s="39" t="s">
        <v>131</v>
      </c>
      <c r="C27" s="39" t="s">
        <v>69</v>
      </c>
      <c r="D27" s="65">
        <v>45849</v>
      </c>
      <c r="E27" s="39" t="s">
        <v>14</v>
      </c>
      <c r="F27" s="66" t="s">
        <v>132</v>
      </c>
      <c r="G27" s="41" t="s">
        <v>94</v>
      </c>
      <c r="H27" s="45"/>
      <c r="I27" s="39"/>
    </row>
    <row r="28" spans="1:9" x14ac:dyDescent="0.3">
      <c r="A28" s="38">
        <v>27</v>
      </c>
      <c r="B28" s="39" t="s">
        <v>133</v>
      </c>
      <c r="C28" s="39" t="s">
        <v>91</v>
      </c>
      <c r="D28" s="65">
        <v>45849</v>
      </c>
      <c r="E28" s="39" t="s">
        <v>14</v>
      </c>
      <c r="F28" s="43" t="s">
        <v>99</v>
      </c>
      <c r="G28" s="41" t="s">
        <v>94</v>
      </c>
      <c r="H28" s="45"/>
      <c r="I28" s="39"/>
    </row>
    <row r="29" spans="1:9" x14ac:dyDescent="0.3">
      <c r="A29" s="38">
        <v>28</v>
      </c>
      <c r="B29" s="39" t="s">
        <v>134</v>
      </c>
      <c r="C29" s="39" t="s">
        <v>135</v>
      </c>
      <c r="D29" s="65">
        <v>45849</v>
      </c>
      <c r="E29" s="39" t="s">
        <v>14</v>
      </c>
      <c r="F29" s="40" t="s">
        <v>93</v>
      </c>
      <c r="G29" s="41" t="s">
        <v>94</v>
      </c>
      <c r="H29" s="45"/>
      <c r="I29" s="39" t="s">
        <v>136</v>
      </c>
    </row>
    <row r="30" spans="1:9" x14ac:dyDescent="0.3">
      <c r="A30" s="38">
        <v>29</v>
      </c>
      <c r="B30" s="39" t="s">
        <v>137</v>
      </c>
      <c r="C30" s="39" t="s">
        <v>91</v>
      </c>
      <c r="D30" s="65">
        <v>45849</v>
      </c>
      <c r="E30" s="39" t="s">
        <v>14</v>
      </c>
      <c r="F30" s="66" t="s">
        <v>132</v>
      </c>
      <c r="G30" s="41" t="s">
        <v>94</v>
      </c>
      <c r="H30" s="45"/>
      <c r="I30" s="39"/>
    </row>
    <row r="31" spans="1:9" x14ac:dyDescent="0.3">
      <c r="A31" s="38">
        <v>30</v>
      </c>
      <c r="B31" s="39" t="s">
        <v>138</v>
      </c>
      <c r="C31" s="39" t="s">
        <v>139</v>
      </c>
      <c r="D31" s="65">
        <v>45849</v>
      </c>
      <c r="E31" s="39" t="s">
        <v>14</v>
      </c>
      <c r="F31" s="43" t="s">
        <v>99</v>
      </c>
      <c r="G31" s="41" t="s">
        <v>94</v>
      </c>
      <c r="H31" s="45"/>
      <c r="I31" s="39"/>
    </row>
    <row r="32" spans="1:9" x14ac:dyDescent="0.3">
      <c r="A32" s="38">
        <v>31</v>
      </c>
      <c r="B32" s="39" t="s">
        <v>145</v>
      </c>
      <c r="C32" s="39" t="s">
        <v>91</v>
      </c>
      <c r="D32" s="65">
        <v>45896</v>
      </c>
      <c r="E32" s="39" t="s">
        <v>14</v>
      </c>
      <c r="F32" s="43" t="s">
        <v>99</v>
      </c>
      <c r="G32" s="42" t="s">
        <v>114</v>
      </c>
      <c r="H32" s="45"/>
      <c r="I32" s="39" t="s">
        <v>183</v>
      </c>
    </row>
    <row r="33" spans="1:9" x14ac:dyDescent="0.3">
      <c r="A33" s="38">
        <v>32</v>
      </c>
      <c r="B33" s="39" t="s">
        <v>140</v>
      </c>
      <c r="C33" s="39" t="s">
        <v>127</v>
      </c>
      <c r="D33" s="65">
        <v>45882</v>
      </c>
      <c r="E33" s="39" t="s">
        <v>14</v>
      </c>
      <c r="F33" s="43" t="s">
        <v>99</v>
      </c>
      <c r="G33" s="42" t="s">
        <v>141</v>
      </c>
      <c r="H33" s="45"/>
      <c r="I33" s="39"/>
    </row>
    <row r="34" spans="1:9" x14ac:dyDescent="0.3">
      <c r="A34" s="38">
        <v>33</v>
      </c>
      <c r="B34" s="39" t="s">
        <v>142</v>
      </c>
      <c r="C34" s="39" t="s">
        <v>69</v>
      </c>
      <c r="D34" s="65">
        <v>45882</v>
      </c>
      <c r="E34" s="39" t="s">
        <v>14</v>
      </c>
      <c r="F34" s="43" t="s">
        <v>99</v>
      </c>
      <c r="G34" s="42" t="s">
        <v>141</v>
      </c>
      <c r="H34" s="45"/>
      <c r="I34" s="39"/>
    </row>
    <row r="35" spans="1:9" x14ac:dyDescent="0.3">
      <c r="A35" s="38">
        <v>34</v>
      </c>
      <c r="B35" s="39" t="s">
        <v>143</v>
      </c>
      <c r="C35" s="39" t="s">
        <v>91</v>
      </c>
      <c r="D35" s="65">
        <v>45896</v>
      </c>
      <c r="E35" s="39" t="s">
        <v>14</v>
      </c>
      <c r="F35" s="43" t="s">
        <v>99</v>
      </c>
      <c r="G35" s="41" t="s">
        <v>94</v>
      </c>
      <c r="H35" s="45"/>
      <c r="I35" s="39"/>
    </row>
    <row r="36" spans="1:9" x14ac:dyDescent="0.3">
      <c r="A36" s="38">
        <v>35</v>
      </c>
      <c r="B36" s="39" t="s">
        <v>144</v>
      </c>
      <c r="C36" s="39" t="s">
        <v>69</v>
      </c>
      <c r="D36" s="65">
        <v>45896</v>
      </c>
      <c r="E36" s="39" t="s">
        <v>14</v>
      </c>
      <c r="F36" s="40" t="s">
        <v>93</v>
      </c>
      <c r="G36" s="41" t="s">
        <v>94</v>
      </c>
      <c r="H36" s="45"/>
      <c r="I36" s="39"/>
    </row>
    <row r="37" spans="1:9" x14ac:dyDescent="0.3">
      <c r="A37" s="38">
        <v>36</v>
      </c>
      <c r="B37" s="39" t="s">
        <v>146</v>
      </c>
      <c r="C37" s="39" t="s">
        <v>49</v>
      </c>
      <c r="D37" s="65">
        <v>45896</v>
      </c>
      <c r="E37" s="39" t="s">
        <v>14</v>
      </c>
      <c r="F37" s="43" t="s">
        <v>99</v>
      </c>
      <c r="G37" s="41" t="s">
        <v>94</v>
      </c>
      <c r="H37" s="45"/>
      <c r="I37" s="39" t="s">
        <v>181</v>
      </c>
    </row>
    <row r="38" spans="1:9" x14ac:dyDescent="0.3">
      <c r="A38" s="38">
        <v>37</v>
      </c>
      <c r="B38" s="39" t="s">
        <v>184</v>
      </c>
      <c r="C38" s="39" t="s">
        <v>49</v>
      </c>
      <c r="D38" s="65">
        <v>45896</v>
      </c>
      <c r="E38" s="39" t="s">
        <v>14</v>
      </c>
      <c r="F38" s="43" t="s">
        <v>99</v>
      </c>
      <c r="G38" s="42" t="s">
        <v>141</v>
      </c>
      <c r="H38" s="45"/>
      <c r="I38" s="39" t="s">
        <v>185</v>
      </c>
    </row>
    <row r="39" spans="1:9" x14ac:dyDescent="0.3">
      <c r="A39" s="38">
        <v>38</v>
      </c>
      <c r="B39" s="39" t="s">
        <v>188</v>
      </c>
      <c r="C39" s="39" t="s">
        <v>49</v>
      </c>
      <c r="D39" s="65">
        <v>45939</v>
      </c>
      <c r="E39" s="39" t="s">
        <v>14</v>
      </c>
      <c r="F39" s="66" t="s">
        <v>132</v>
      </c>
      <c r="G39" s="41" t="s">
        <v>94</v>
      </c>
      <c r="H39" s="45"/>
      <c r="I39" s="39" t="s">
        <v>187</v>
      </c>
    </row>
    <row r="40" spans="1:9" x14ac:dyDescent="0.3">
      <c r="A40" s="38">
        <v>39</v>
      </c>
      <c r="B40" s="39" t="s">
        <v>180</v>
      </c>
      <c r="C40" s="39" t="s">
        <v>49</v>
      </c>
      <c r="D40" s="65">
        <v>45971</v>
      </c>
      <c r="E40" s="39" t="s">
        <v>14</v>
      </c>
      <c r="F40" s="40" t="s">
        <v>93</v>
      </c>
      <c r="G40" s="41" t="s">
        <v>94</v>
      </c>
      <c r="H40" s="45"/>
      <c r="I40" s="39" t="s">
        <v>181</v>
      </c>
    </row>
    <row r="41" spans="1:9" x14ac:dyDescent="0.3">
      <c r="A41" s="38">
        <v>40</v>
      </c>
      <c r="B41" s="39" t="s">
        <v>186</v>
      </c>
      <c r="C41" s="39" t="s">
        <v>91</v>
      </c>
      <c r="D41" s="65">
        <v>45980</v>
      </c>
      <c r="E41" s="39" t="s">
        <v>14</v>
      </c>
      <c r="F41" s="66" t="s">
        <v>132</v>
      </c>
      <c r="G41" s="41" t="s">
        <v>94</v>
      </c>
      <c r="H41" s="45"/>
      <c r="I41" s="39" t="s">
        <v>181</v>
      </c>
    </row>
    <row r="42" spans="1:9" x14ac:dyDescent="0.3">
      <c r="A42" s="38">
        <v>41</v>
      </c>
      <c r="B42" s="39" t="s">
        <v>182</v>
      </c>
      <c r="C42" s="39" t="s">
        <v>91</v>
      </c>
      <c r="D42" s="65">
        <v>45981</v>
      </c>
      <c r="E42" s="39" t="s">
        <v>14</v>
      </c>
      <c r="F42" s="40" t="s">
        <v>93</v>
      </c>
      <c r="G42" s="42" t="s">
        <v>141</v>
      </c>
      <c r="H42" s="45"/>
      <c r="I42" s="39" t="s">
        <v>185</v>
      </c>
    </row>
    <row r="43" spans="1:9" x14ac:dyDescent="0.3">
      <c r="B43" s="67" t="s">
        <v>189</v>
      </c>
    </row>
    <row r="44" spans="1:9" x14ac:dyDescent="0.3">
      <c r="B44" s="67" t="s">
        <v>190</v>
      </c>
    </row>
    <row r="45" spans="1:9" x14ac:dyDescent="0.3">
      <c r="B45" s="67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92EB-7137-412F-8B16-33439EC847F4}">
  <dimension ref="A1:J5"/>
  <sheetViews>
    <sheetView workbookViewId="0">
      <selection activeCell="G4" sqref="G4"/>
    </sheetView>
  </sheetViews>
  <sheetFormatPr defaultColWidth="24.5546875" defaultRowHeight="36.6" customHeight="1" x14ac:dyDescent="0.3"/>
  <cols>
    <col min="1" max="1" width="5.33203125" customWidth="1"/>
  </cols>
  <sheetData>
    <row r="1" spans="1:10" ht="16.2" customHeight="1" thickBot="1" x14ac:dyDescent="0.35">
      <c r="A1" s="58" t="s">
        <v>147</v>
      </c>
      <c r="B1" s="59" t="s">
        <v>148</v>
      </c>
      <c r="C1" s="59" t="s">
        <v>149</v>
      </c>
      <c r="D1" s="59" t="s">
        <v>150</v>
      </c>
      <c r="E1" s="59" t="s">
        <v>151</v>
      </c>
      <c r="F1" s="59" t="s">
        <v>152</v>
      </c>
      <c r="G1" s="59" t="s">
        <v>153</v>
      </c>
      <c r="H1" s="59" t="s">
        <v>154</v>
      </c>
      <c r="I1" s="59" t="s">
        <v>155</v>
      </c>
      <c r="J1" s="59" t="s">
        <v>156</v>
      </c>
    </row>
    <row r="2" spans="1:10" ht="42.6" customHeight="1" thickBot="1" x14ac:dyDescent="0.35">
      <c r="A2" s="60">
        <v>1</v>
      </c>
      <c r="B2" s="61" t="s">
        <v>157</v>
      </c>
      <c r="C2" s="62" t="s">
        <v>93</v>
      </c>
      <c r="D2" s="62" t="s">
        <v>93</v>
      </c>
      <c r="E2" s="62" t="s">
        <v>93</v>
      </c>
      <c r="F2" s="62" t="s">
        <v>158</v>
      </c>
      <c r="G2" s="62" t="s">
        <v>159</v>
      </c>
      <c r="H2" s="62" t="s">
        <v>160</v>
      </c>
      <c r="I2" s="62" t="s">
        <v>161</v>
      </c>
      <c r="J2" s="62" t="s">
        <v>162</v>
      </c>
    </row>
    <row r="3" spans="1:10" ht="44.4" customHeight="1" thickBot="1" x14ac:dyDescent="0.35">
      <c r="A3" s="60">
        <v>2</v>
      </c>
      <c r="B3" s="61" t="s">
        <v>163</v>
      </c>
      <c r="C3" s="62" t="s">
        <v>93</v>
      </c>
      <c r="D3" s="62" t="s">
        <v>93</v>
      </c>
      <c r="E3" s="62" t="s">
        <v>93</v>
      </c>
      <c r="F3" s="62" t="s">
        <v>164</v>
      </c>
      <c r="G3" s="62" t="s">
        <v>165</v>
      </c>
      <c r="H3" s="62" t="s">
        <v>166</v>
      </c>
      <c r="I3" s="62" t="s">
        <v>167</v>
      </c>
      <c r="J3" s="62" t="s">
        <v>168</v>
      </c>
    </row>
    <row r="4" spans="1:10" ht="56.4" customHeight="1" thickBot="1" x14ac:dyDescent="0.35">
      <c r="A4" s="60">
        <v>3</v>
      </c>
      <c r="B4" s="61" t="s">
        <v>169</v>
      </c>
      <c r="C4" s="62" t="s">
        <v>93</v>
      </c>
      <c r="D4" s="62" t="s">
        <v>93</v>
      </c>
      <c r="E4" s="62" t="s">
        <v>93</v>
      </c>
      <c r="F4" s="62" t="s">
        <v>170</v>
      </c>
      <c r="G4" s="62" t="s">
        <v>171</v>
      </c>
      <c r="H4" s="62" t="s">
        <v>172</v>
      </c>
      <c r="I4" s="62" t="s">
        <v>173</v>
      </c>
      <c r="J4" s="62" t="s">
        <v>174</v>
      </c>
    </row>
    <row r="5" spans="1:10" ht="70.95" customHeight="1" thickBot="1" x14ac:dyDescent="0.35">
      <c r="A5" s="60">
        <v>4</v>
      </c>
      <c r="B5" s="61" t="s">
        <v>175</v>
      </c>
      <c r="C5" s="62" t="s">
        <v>99</v>
      </c>
      <c r="D5" s="62" t="s">
        <v>93</v>
      </c>
      <c r="E5" s="62" t="s">
        <v>132</v>
      </c>
      <c r="F5" s="62" t="s">
        <v>158</v>
      </c>
      <c r="G5" s="62" t="s">
        <v>176</v>
      </c>
      <c r="H5" s="62" t="s">
        <v>177</v>
      </c>
      <c r="I5" s="62" t="s">
        <v>178</v>
      </c>
      <c r="J5" s="62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943A8D28273489D94F9B67A325E5B" ma:contentTypeVersion="15" ma:contentTypeDescription="Create a new document." ma:contentTypeScope="" ma:versionID="4271c5f10daee4c0698db44fb284b90e">
  <xsd:schema xmlns:xsd="http://www.w3.org/2001/XMLSchema" xmlns:xs="http://www.w3.org/2001/XMLSchema" xmlns:p="http://schemas.microsoft.com/office/2006/metadata/properties" xmlns:ns2="16e39d76-e192-484b-909e-46033c7d7034" xmlns:ns3="ddccc463-1517-401d-bd35-7be4da209f2c" targetNamespace="http://schemas.microsoft.com/office/2006/metadata/properties" ma:root="true" ma:fieldsID="0df087e6dccf298288d874cac4eaef8b" ns2:_="" ns3:_="">
    <xsd:import namespace="16e39d76-e192-484b-909e-46033c7d7034"/>
    <xsd:import namespace="ddccc463-1517-401d-bd35-7be4da209f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Remark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39d76-e192-484b-909e-46033c7d7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58c0ed4-874f-477e-9532-08b1e01d0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marks" ma:index="21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cc463-1517-401d-bd35-7be4da209f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636f6d-9718-43df-af87-31df2f89e86a}" ma:internalName="TaxCatchAll" ma:showField="CatchAllData" ma:web="ddccc463-1517-401d-bd35-7be4da209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ccc463-1517-401d-bd35-7be4da209f2c" xsi:nil="true"/>
    <lcf76f155ced4ddcb4097134ff3c332f xmlns="16e39d76-e192-484b-909e-46033c7d7034">
      <Terms xmlns="http://schemas.microsoft.com/office/infopath/2007/PartnerControls"/>
    </lcf76f155ced4ddcb4097134ff3c332f>
    <Remarks xmlns="16e39d76-e192-484b-909e-46033c7d7034" xsi:nil="true"/>
  </documentManagement>
</p:properties>
</file>

<file path=customXml/itemProps1.xml><?xml version="1.0" encoding="utf-8"?>
<ds:datastoreItem xmlns:ds="http://schemas.openxmlformats.org/officeDocument/2006/customXml" ds:itemID="{2C842942-19F0-4DCD-9493-7F12AA55C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39d76-e192-484b-909e-46033c7d7034"/>
    <ds:schemaRef ds:uri="ddccc463-1517-401d-bd35-7be4da209f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4CD450-099C-48B8-9572-376D3D816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532BDD-9576-4462-BF11-F02EFFECEF93}">
  <ds:schemaRefs>
    <ds:schemaRef ds:uri="ddccc463-1517-401d-bd35-7be4da209f2c"/>
    <ds:schemaRef ds:uri="http://www.w3.org/XML/1998/namespace"/>
    <ds:schemaRef ds:uri="16e39d76-e192-484b-909e-46033c7d7034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HGI Project Monitoring - POS</vt:lpstr>
      <vt:lpstr>Backlogs</vt:lpstr>
      <vt:lpstr>User Logs</vt:lpstr>
      <vt:lpstr>Risk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Rustom G. Villanueva</dc:creator>
  <cp:keywords/>
  <dc:description/>
  <cp:lastModifiedBy>Jorge Rustom G. Villanueva</cp:lastModifiedBy>
  <cp:revision/>
  <dcterms:created xsi:type="dcterms:W3CDTF">2024-10-14T06:39:49Z</dcterms:created>
  <dcterms:modified xsi:type="dcterms:W3CDTF">2026-03-11T00:42:52Z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0x010100B79943A8D28273489D94F9B67A325E5B</vt:lpwstr>
  </property>
  <property fmtid="{D5CDD505-2E9C-101B-9397-08002B2CF9AE}" pid="3" name="MediaServiceImageTags">
    <vt:lpwstr/>
  </property>
</Properties>
</file>