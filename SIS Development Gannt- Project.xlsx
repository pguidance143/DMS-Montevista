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ijoresources-my.sharepoint.com/personal/jgvillanueva_hijoresources_com/Documents/Masteral Files/Personal/DMS - MONTEVISTA/"/>
    </mc:Choice>
  </mc:AlternateContent>
  <xr:revisionPtr revIDLastSave="1479" documentId="13_ncr:1_{B922D91C-F4A6-435B-9B3C-35B8DFFDCEDF}" xr6:coauthVersionLast="47" xr6:coauthVersionMax="47" xr10:uidLastSave="{DEF213A1-3B0C-4F09-A0F6-E4EFE34327E4}"/>
  <bookViews>
    <workbookView xWindow="-108" yWindow="-108" windowWidth="23256" windowHeight="12456" xr2:uid="{98364537-1C02-439A-B2FD-4F5D5C7BB6D2}"/>
  </bookViews>
  <sheets>
    <sheet name="SIS Project Monitoring" sheetId="1" r:id="rId1"/>
    <sheet name="Backlogs" sheetId="4" r:id="rId2"/>
    <sheet name="User Logs" sheetId="2" r:id="rId3"/>
    <sheet name="Risk Register" sheetId="3" r:id="rId4"/>
  </sheets>
  <definedNames>
    <definedName name="_xlnm.Print_Area" localSheetId="0">'SIS Project Monitoring'!$A$1:$H$78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E51" i="1"/>
  <c r="F51" i="1" s="1"/>
  <c r="F50" i="1"/>
  <c r="F49" i="1"/>
  <c r="D51" i="1"/>
  <c r="E50" i="1"/>
  <c r="D50" i="1"/>
  <c r="E49" i="1"/>
  <c r="D49" i="1"/>
  <c r="F43" i="1"/>
  <c r="F45" i="1"/>
  <c r="F46" i="1"/>
  <c r="F47" i="1"/>
  <c r="F44" i="1"/>
  <c r="E47" i="1"/>
  <c r="D47" i="1"/>
  <c r="E46" i="1"/>
  <c r="D46" i="1"/>
  <c r="E45" i="1"/>
  <c r="D45" i="1"/>
  <c r="E44" i="1"/>
  <c r="D44" i="1"/>
  <c r="F39" i="1"/>
  <c r="F41" i="1"/>
  <c r="F42" i="1"/>
  <c r="F40" i="1"/>
  <c r="D42" i="1"/>
  <c r="E42" i="1" s="1"/>
  <c r="D41" i="1"/>
  <c r="E41" i="1" s="1"/>
  <c r="E40" i="1"/>
  <c r="D40" i="1"/>
  <c r="F34" i="1"/>
  <c r="F36" i="1"/>
  <c r="F37" i="1"/>
  <c r="F38" i="1"/>
  <c r="F35" i="1"/>
  <c r="E37" i="1"/>
  <c r="D37" i="1"/>
  <c r="D38" i="1"/>
  <c r="E38" i="1" s="1"/>
  <c r="E36" i="1"/>
  <c r="D36" i="1"/>
  <c r="E35" i="1"/>
  <c r="D35" i="1"/>
  <c r="F30" i="1"/>
  <c r="F32" i="1"/>
  <c r="F33" i="1"/>
  <c r="F31" i="1"/>
  <c r="E33" i="1"/>
  <c r="D33" i="1"/>
  <c r="D11" i="1"/>
  <c r="E11" i="1" s="1"/>
  <c r="D12" i="1" s="1"/>
  <c r="E12" i="1" s="1"/>
  <c r="D13" i="1" s="1"/>
  <c r="C4" i="1"/>
  <c r="C5" i="1" s="1"/>
  <c r="G3" i="1"/>
  <c r="D52" i="1" l="1"/>
  <c r="E13" i="1"/>
  <c r="D14" i="1" s="1"/>
  <c r="G4" i="1"/>
  <c r="F52" i="1" l="1"/>
  <c r="E52" i="1"/>
  <c r="D53" i="1" s="1"/>
  <c r="E14" i="1"/>
  <c r="D15" i="1" s="1"/>
  <c r="F13" i="1"/>
  <c r="J9" i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I8" i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E53" i="1" l="1"/>
  <c r="D55" i="1" s="1"/>
  <c r="E15" i="1"/>
  <c r="D17" i="1" s="1"/>
  <c r="E17" i="1" s="1"/>
  <c r="D18" i="1" s="1"/>
  <c r="E18" i="1" s="1"/>
  <c r="D19" i="1" s="1"/>
  <c r="F14" i="1"/>
  <c r="F11" i="1"/>
  <c r="F53" i="1" l="1"/>
  <c r="F48" i="1" s="1"/>
  <c r="E55" i="1"/>
  <c r="D56" i="1" s="1"/>
  <c r="F55" i="1"/>
  <c r="E19" i="1"/>
  <c r="D20" i="1" s="1"/>
  <c r="F15" i="1"/>
  <c r="F12" i="1"/>
  <c r="F10" i="1" s="1"/>
  <c r="E56" i="1" l="1"/>
  <c r="D57" i="1" s="1"/>
  <c r="F56" i="1"/>
  <c r="E20" i="1"/>
  <c r="D22" i="1" s="1"/>
  <c r="F19" i="1"/>
  <c r="F17" i="1"/>
  <c r="E57" i="1" l="1"/>
  <c r="D58" i="1" s="1"/>
  <c r="F57" i="1"/>
  <c r="E22" i="1"/>
  <c r="D23" i="1" s="1"/>
  <c r="F20" i="1"/>
  <c r="F18" i="1"/>
  <c r="F16" i="1" s="1"/>
  <c r="E58" i="1" l="1"/>
  <c r="D59" i="1" s="1"/>
  <c r="E23" i="1"/>
  <c r="D24" i="1" s="1"/>
  <c r="F22" i="1"/>
  <c r="E59" i="1" l="1"/>
  <c r="D61" i="1" s="1"/>
  <c r="F58" i="1"/>
  <c r="E24" i="1"/>
  <c r="F23" i="1"/>
  <c r="F54" i="1" l="1"/>
  <c r="F59" i="1"/>
  <c r="E61" i="1"/>
  <c r="D62" i="1" s="1"/>
  <c r="F61" i="1"/>
  <c r="F24" i="1"/>
  <c r="F21" i="1" s="1"/>
  <c r="D26" i="1"/>
  <c r="E62" i="1" l="1"/>
  <c r="D63" i="1" s="1"/>
  <c r="F62" i="1"/>
  <c r="E26" i="1"/>
  <c r="D27" i="1" s="1"/>
  <c r="F26" i="1"/>
  <c r="E63" i="1" l="1"/>
  <c r="D64" i="1" s="1"/>
  <c r="F63" i="1"/>
  <c r="E27" i="1"/>
  <c r="D28" i="1" s="1"/>
  <c r="E64" i="1" l="1"/>
  <c r="D65" i="1" s="1"/>
  <c r="F64" i="1"/>
  <c r="E28" i="1"/>
  <c r="D29" i="1" s="1"/>
  <c r="F27" i="1"/>
  <c r="E65" i="1" l="1"/>
  <c r="D66" i="1" s="1"/>
  <c r="F65" i="1"/>
  <c r="E29" i="1"/>
  <c r="D31" i="1" s="1"/>
  <c r="E31" i="1" s="1"/>
  <c r="D32" i="1" s="1"/>
  <c r="E32" i="1" s="1"/>
  <c r="F28" i="1"/>
  <c r="E66" i="1" l="1"/>
  <c r="D68" i="1" s="1"/>
  <c r="F29" i="1"/>
  <c r="F25" i="1" s="1"/>
  <c r="F68" i="1" l="1"/>
  <c r="E68" i="1"/>
  <c r="D69" i="1" s="1"/>
  <c r="F66" i="1"/>
  <c r="F60" i="1" s="1"/>
  <c r="E69" i="1" l="1"/>
  <c r="D70" i="1" s="1"/>
  <c r="F69" i="1"/>
  <c r="E70" i="1" l="1"/>
  <c r="D71" i="1" s="1"/>
  <c r="F71" i="1" l="1"/>
  <c r="E71" i="1"/>
  <c r="D73" i="1" s="1"/>
  <c r="F70" i="1"/>
  <c r="F67" i="1" l="1"/>
  <c r="F73" i="1"/>
  <c r="E73" i="1"/>
  <c r="D74" i="1" s="1"/>
  <c r="E74" i="1" l="1"/>
  <c r="D75" i="1" s="1"/>
  <c r="F74" i="1"/>
  <c r="E75" i="1" l="1"/>
  <c r="D76" i="1" s="1"/>
  <c r="F76" i="1" l="1"/>
  <c r="E76" i="1"/>
  <c r="D78" i="1" s="1"/>
  <c r="F75" i="1"/>
  <c r="F72" i="1" l="1"/>
  <c r="E78" i="1"/>
  <c r="F78" i="1" s="1"/>
  <c r="F77" i="1" s="1"/>
  <c r="C6" i="1" l="1"/>
</calcChain>
</file>

<file path=xl/sharedStrings.xml><?xml version="1.0" encoding="utf-8"?>
<sst xmlns="http://schemas.openxmlformats.org/spreadsheetml/2006/main" count="251" uniqueCount="132">
  <si>
    <t>Project Name:</t>
  </si>
  <si>
    <t>Project Progress (Dev)</t>
  </si>
  <si>
    <t>Project Start:</t>
  </si>
  <si>
    <t>Project Progress (Impl)</t>
  </si>
  <si>
    <t>Current Date:</t>
  </si>
  <si>
    <t>Total Progress</t>
  </si>
  <si>
    <t>Weeks in Progress:</t>
  </si>
  <si>
    <t>Task</t>
  </si>
  <si>
    <t>Assigned to</t>
  </si>
  <si>
    <t>Process Owners</t>
  </si>
  <si>
    <t>Start Date</t>
  </si>
  <si>
    <t>End Date</t>
  </si>
  <si>
    <t>Days</t>
  </si>
  <si>
    <t>Progress</t>
  </si>
  <si>
    <t>Project Closing</t>
  </si>
  <si>
    <t>Extraction of report remove the time</t>
  </si>
  <si>
    <t>#</t>
  </si>
  <si>
    <t>Concern</t>
  </si>
  <si>
    <t>Reported By</t>
  </si>
  <si>
    <t>Reported Date</t>
  </si>
  <si>
    <t>Assigned To</t>
  </si>
  <si>
    <t>Priority Status</t>
  </si>
  <si>
    <t>Status</t>
  </si>
  <si>
    <t>Completed Date</t>
  </si>
  <si>
    <t>Remarks</t>
  </si>
  <si>
    <t>High</t>
  </si>
  <si>
    <t>Low</t>
  </si>
  <si>
    <t>Medium</t>
  </si>
  <si>
    <t>ID</t>
  </si>
  <si>
    <t>RISK DESCRIPTION</t>
  </si>
  <si>
    <t>LIKELIHOOD</t>
  </si>
  <si>
    <t>SEVERITY</t>
  </si>
  <si>
    <t>RISK FACTOR</t>
  </si>
  <si>
    <t>OWNER</t>
  </si>
  <si>
    <t>MITIGATING ACTION</t>
  </si>
  <si>
    <t>CONTINGENT ACTION</t>
  </si>
  <si>
    <t>PROGRESS ON ACTIONS</t>
  </si>
  <si>
    <t>USEFUL RESOURCES</t>
  </si>
  <si>
    <t>Data migration errors during system implementation.</t>
  </si>
  <si>
    <t>Project Manager</t>
  </si>
  <si>
    <t>Conduct thorough testing and validation of migrated data.</t>
  </si>
  <si>
    <t>Roll back migration and investigate issues.</t>
  </si>
  <si>
    <t>Validate the data</t>
  </si>
  <si>
    <t>Data migration checklist</t>
  </si>
  <si>
    <t>User resistance to adopting the new system.</t>
  </si>
  <si>
    <t>Change Management Lead</t>
  </si>
  <si>
    <t>Provide comprehensive training and support materials.</t>
  </si>
  <si>
    <t>Offer one-on-one sessions for resistant users.</t>
  </si>
  <si>
    <t>Develop a training Plan</t>
  </si>
  <si>
    <t>Training schedule and materials</t>
  </si>
  <si>
    <t>Potential data security breaches during implementation</t>
  </si>
  <si>
    <t xml:space="preserve">Technical Lead </t>
  </si>
  <si>
    <t>Implement strict security protocols and audits.</t>
  </si>
  <si>
    <t>Activate incident response plan</t>
  </si>
  <si>
    <t>Security protocols in place</t>
  </si>
  <si>
    <t>Incident response policy</t>
  </si>
  <si>
    <t>Budget Constraints</t>
  </si>
  <si>
    <t>Conduct regular budget reviews and consider phased implementation to spread costs over time.</t>
  </si>
  <si>
    <t>Identify and focus on high-impact project deliverables and eliminate non-essential features or functionalities to reduce costs.</t>
  </si>
  <si>
    <t>Budget Tracking</t>
  </si>
  <si>
    <t>Budget Tracking Tool</t>
  </si>
  <si>
    <t>Programmer</t>
  </si>
  <si>
    <t>MGO Officer</t>
  </si>
  <si>
    <t>1. User Management</t>
  </si>
  <si>
    <t>1.1 User Registration</t>
  </si>
  <si>
    <t>1.2 Login / authentication</t>
  </si>
  <si>
    <t>1.3 Role Management (Admin, Staff, Public User)</t>
  </si>
  <si>
    <t>1.4 Password Management</t>
  </si>
  <si>
    <t>1.5 User Activity Log</t>
  </si>
  <si>
    <t>2. Document Registration</t>
  </si>
  <si>
    <t>2.1 Add new document record</t>
  </si>
  <si>
    <t>2.2 Upload scanned document (PDF/Image)</t>
  </si>
  <si>
    <t>2.3 Assign document type</t>
  </si>
  <si>
    <t>2.4 Assign document category</t>
  </si>
  <si>
    <t>3. Document Storage</t>
  </si>
  <si>
    <t>3.1 File storage management</t>
  </si>
  <si>
    <t>3.2 Document update</t>
  </si>
  <si>
    <t>3.3 Document archive</t>
  </si>
  <si>
    <t>4. Document Search and Retrieval</t>
  </si>
  <si>
    <t>4.1 Document Searching (Document Name, Reference number, Category, Keywords, Date)</t>
  </si>
  <si>
    <t>4.2 Display search results</t>
  </si>
  <si>
    <t>4.3 Open/view document</t>
  </si>
  <si>
    <t>4.4 Download document (optional)</t>
  </si>
  <si>
    <t>5. Physical Location Tracking</t>
  </si>
  <si>
    <t>5.1 Encode storage location (Cabinet, Drawer, Box, Folder)</t>
  </si>
  <si>
    <t>5.2 Update document location</t>
  </si>
  <si>
    <t>5.3 Display physical storage location when searched</t>
  </si>
  <si>
    <t>6. Public Access Portal</t>
  </si>
  <si>
    <t>6.1 Public document search</t>
  </si>
  <si>
    <t>6.2 View document information</t>
  </si>
  <si>
    <t>6.3 View scanned document (if allowed)</t>
  </si>
  <si>
    <t>6.4 Limited access permissions</t>
  </si>
  <si>
    <t>7. Document Classification</t>
  </si>
  <si>
    <t>7.1 Manage document categories</t>
  </si>
  <si>
    <t>7.2 Manage document types</t>
  </si>
  <si>
    <t>7.3 Tagging keywords</t>
  </si>
  <si>
    <t>8. Reports and Monitoring</t>
  </si>
  <si>
    <t>8.1 Document inventory report</t>
  </si>
  <si>
    <t>8.2 Recently added documents</t>
  </si>
  <si>
    <t>8.3 Search history</t>
  </si>
  <si>
    <t>8.4 Activity logs</t>
  </si>
  <si>
    <t>9. System Testing</t>
  </si>
  <si>
    <t>9.1 Unit testing (per module)</t>
  </si>
  <si>
    <t>9.2 Integration testing</t>
  </si>
  <si>
    <t>9.3 File upload testing</t>
  </si>
  <si>
    <t>9.4 Search functionality testing</t>
  </si>
  <si>
    <t>9.5 Bug fixing</t>
  </si>
  <si>
    <t>10. Implementation</t>
  </si>
  <si>
    <t>10.1 System installation on server</t>
  </si>
  <si>
    <t>10.2 Database deployment</t>
  </si>
  <si>
    <t>10.3 Upload initial documents</t>
  </si>
  <si>
    <t>10.4 User account setup</t>
  </si>
  <si>
    <t>10.5 Staff orientation</t>
  </si>
  <si>
    <t>11. Pre-Go-Live</t>
  </si>
  <si>
    <t>11.1 Final system review</t>
  </si>
  <si>
    <t>11.2 User Acceptance Testing (UAT)</t>
  </si>
  <si>
    <t>11.3 Staff hands-on testing</t>
  </si>
  <si>
    <t>11.4 Final bug fixes</t>
  </si>
  <si>
    <t>11.5 Data verification</t>
  </si>
  <si>
    <t>11.6 System performance check</t>
  </si>
  <si>
    <t>12. Go-Live</t>
  </si>
  <si>
    <t>12.1 Official system launch</t>
  </si>
  <si>
    <t>12.2 Records department begins using system</t>
  </si>
  <si>
    <t>12.3 Monitor system performance</t>
  </si>
  <si>
    <t>12.4 Immediate support</t>
  </si>
  <si>
    <t>13. Post-Implementation Support</t>
  </si>
  <si>
    <t>13.1 User support</t>
  </si>
  <si>
    <t>13.2 Minor bug fixes</t>
  </si>
  <si>
    <t>13.3 System adjustments</t>
  </si>
  <si>
    <t>13.4 Final documentation</t>
  </si>
  <si>
    <t>Total Man Days:</t>
  </si>
  <si>
    <t>SANGGUNIAN INFORMATION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</si>
</sst>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W\k\ 0"/>
    <numFmt numFmtId="165" formatCode="\W\k\ #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14" fontId="0" fillId="0" borderId="0" xfId="0" applyNumberFormat="1"/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2" borderId="0" xfId="0" applyFont="1" applyFill="1"/>
    <xf numFmtId="14" fontId="1" fillId="2" borderId="0" xfId="0" applyNumberFormat="1" applyFont="1" applyFill="1"/>
    <xf numFmtId="0" fontId="0" fillId="2" borderId="0" xfId="0" applyFill="1"/>
    <xf numFmtId="16" fontId="3" fillId="2" borderId="0" xfId="0" applyNumberFormat="1" applyFont="1" applyFill="1"/>
    <xf numFmtId="0" fontId="3" fillId="2" borderId="0" xfId="0" applyFont="1" applyFill="1"/>
    <xf numFmtId="0" fontId="2" fillId="2" borderId="0" xfId="0" applyFont="1" applyFill="1"/>
    <xf numFmtId="14" fontId="2" fillId="2" borderId="0" xfId="0" applyNumberFormat="1" applyFont="1" applyFill="1"/>
    <xf numFmtId="165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3" borderId="2" xfId="0" applyFont="1" applyFill="1" applyBorder="1"/>
    <xf numFmtId="0" fontId="0" fillId="3" borderId="3" xfId="0" applyFill="1" applyBorder="1"/>
    <xf numFmtId="0" fontId="0" fillId="3" borderId="0" xfId="0" applyFill="1"/>
    <xf numFmtId="0" fontId="0" fillId="0" borderId="4" xfId="0" applyBorder="1" applyAlignment="1">
      <alignment horizontal="left" indent="1"/>
    </xf>
    <xf numFmtId="0" fontId="0" fillId="0" borderId="4" xfId="0" applyBorder="1"/>
    <xf numFmtId="14" fontId="0" fillId="0" borderId="4" xfId="0" applyNumberFormat="1" applyBorder="1"/>
    <xf numFmtId="9" fontId="0" fillId="0" borderId="4" xfId="0" applyNumberFormat="1" applyBorder="1"/>
    <xf numFmtId="9" fontId="0" fillId="0" borderId="5" xfId="0" applyNumberFormat="1" applyBorder="1"/>
    <xf numFmtId="0" fontId="0" fillId="0" borderId="3" xfId="0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0" fontId="2" fillId="3" borderId="5" xfId="0" applyFont="1" applyFill="1" applyBorder="1"/>
    <xf numFmtId="0" fontId="0" fillId="0" borderId="5" xfId="0" applyBorder="1"/>
    <xf numFmtId="0" fontId="0" fillId="0" borderId="1" xfId="0" applyBorder="1" applyAlignment="1">
      <alignment horizontal="left" indent="1"/>
    </xf>
    <xf numFmtId="14" fontId="2" fillId="0" borderId="0" xfId="0" applyNumberFormat="1" applyFont="1"/>
    <xf numFmtId="0" fontId="0" fillId="0" borderId="0" xfId="0" applyAlignment="1">
      <alignment horizontal="center" vertical="center"/>
    </xf>
    <xf numFmtId="0" fontId="1" fillId="4" borderId="0" xfId="0" applyFont="1" applyFill="1"/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1" fillId="4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 inden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justify" vertical="center" wrapText="1"/>
    </xf>
    <xf numFmtId="0" fontId="6" fillId="0" borderId="10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1" xfId="0" applyBorder="1"/>
    <xf numFmtId="14" fontId="0" fillId="0" borderId="1" xfId="0" applyNumberFormat="1" applyBorder="1"/>
    <xf numFmtId="9" fontId="0" fillId="0" borderId="2" xfId="0" applyNumberFormat="1" applyBorder="1"/>
    <xf numFmtId="0" fontId="0" fillId="5" borderId="4" xfId="0" applyFill="1" applyBorder="1" applyAlignment="1">
      <alignment horizontal="left" indent="1"/>
    </xf>
    <xf numFmtId="14" fontId="0" fillId="5" borderId="4" xfId="0" applyNumberFormat="1" applyFill="1" applyBorder="1"/>
    <xf numFmtId="0" fontId="0" fillId="5" borderId="5" xfId="0" applyFill="1" applyBorder="1"/>
    <xf numFmtId="0" fontId="0" fillId="5" borderId="3" xfId="0" applyFill="1" applyBorder="1"/>
    <xf numFmtId="0" fontId="0" fillId="5" borderId="0" xfId="0" applyFill="1"/>
    <xf numFmtId="0" fontId="0" fillId="0" borderId="4" xfId="0" applyBorder="1" applyAlignment="1">
      <alignment horizontal="left" wrapText="1" indent="1"/>
    </xf>
    <xf numFmtId="0" fontId="0" fillId="0" borderId="4" xfId="0" applyBorder="1" applyAlignment="1">
      <alignment horizontal="left" vertical="center" wrapText="1" indent="1"/>
    </xf>
    <xf numFmtId="0" fontId="0" fillId="0" borderId="2" xfId="0" applyBorder="1"/>
    <xf numFmtId="14" fontId="0" fillId="0" borderId="4" xfId="0" applyNumberFormat="1" applyBorder="1" applyAlignment="1">
      <alignment horizontal="left" indent="1"/>
    </xf>
    <xf numFmtId="1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9" fontId="7" fillId="0" borderId="0" xfId="0" applyNumberFormat="1" applyFont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left"/>
    </xf>
    <xf numFmtId="0" fontId="3" fillId="5" borderId="6" xfId="0" applyFont="1" applyFill="1" applyBorder="1" applyAlignment="1">
      <alignment horizontal="center"/>
    </xf>
    <xf numFmtId="0" fontId="3" fillId="5" borderId="6" xfId="0" applyFont="1" applyFill="1" applyBorder="1"/>
  </cellXfs>
  <cellStyles count="1">
    <cellStyle name="Normal" xfId="0" builtinId="0"/>
  </cellStyles>
  <dxfs count="16"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F92D-0070-44F2-B9E1-470971D48562}">
  <sheetPr>
    <pageSetUpPr fitToPage="1"/>
  </sheetPr>
  <dimension ref="A2:AM83"/>
  <sheetViews>
    <sheetView showGridLines="0" tabSelected="1" zoomScaleNormal="100" workbookViewId="0">
      <pane xSplit="8" ySplit="9" topLeftCell="I20" activePane="bottomRight" state="frozen"/>
      <selection pane="topRight" activeCell="H1" sqref="H1"/>
      <selection pane="bottomLeft" activeCell="A10" sqref="A10"/>
      <selection pane="bottomRight" activeCell="M26" sqref="M26"/>
    </sheetView>
  </sheetViews>
  <sheetFormatPr defaultRowHeight="14.4" x14ac:dyDescent="0.3"/>
  <cols>
    <col min="1" max="1" width="41.109375" bestFit="1" customWidth="1"/>
    <col min="2" max="2" width="17.6640625" bestFit="1" customWidth="1"/>
    <col min="3" max="3" width="26.5546875" customWidth="1"/>
    <col min="4" max="4" width="14.21875" style="3" customWidth="1"/>
    <col min="5" max="5" width="18.88671875" style="3" customWidth="1"/>
    <col min="6" max="6" width="10.33203125" bestFit="1" customWidth="1"/>
    <col min="7" max="7" width="8.109375" bestFit="1" customWidth="1"/>
    <col min="9" max="9" width="7.88671875" customWidth="1"/>
    <col min="10" max="10" width="6.5546875" bestFit="1" customWidth="1"/>
    <col min="11" max="14" width="6.6640625" bestFit="1" customWidth="1"/>
    <col min="15" max="19" width="6.88671875" bestFit="1" customWidth="1"/>
    <col min="20" max="23" width="6.33203125" bestFit="1" customWidth="1"/>
    <col min="24" max="32" width="6.6640625" bestFit="1" customWidth="1"/>
    <col min="33" max="36" width="6.44140625" bestFit="1" customWidth="1"/>
    <col min="37" max="39" width="6.88671875" bestFit="1" customWidth="1"/>
  </cols>
  <sheetData>
    <row r="2" spans="1:39" x14ac:dyDescent="0.3">
      <c r="B2" s="1" t="s">
        <v>0</v>
      </c>
      <c r="C2" s="2" t="s">
        <v>131</v>
      </c>
      <c r="E2" s="31" t="s">
        <v>1</v>
      </c>
      <c r="G2" s="59">
        <f>AVERAGE(G11:G53)</f>
        <v>0</v>
      </c>
    </row>
    <row r="3" spans="1:39" x14ac:dyDescent="0.3">
      <c r="B3" s="1" t="s">
        <v>2</v>
      </c>
      <c r="C3" s="4">
        <v>46104</v>
      </c>
      <c r="E3" s="31" t="s">
        <v>3</v>
      </c>
      <c r="G3" s="59">
        <f>AVERAGE(G54:G78)</f>
        <v>0</v>
      </c>
    </row>
    <row r="4" spans="1:39" x14ac:dyDescent="0.3">
      <c r="B4" s="1" t="s">
        <v>4</v>
      </c>
      <c r="C4" s="4">
        <f ca="1">TODAY()</f>
        <v>46092</v>
      </c>
      <c r="E4" s="31" t="s">
        <v>5</v>
      </c>
      <c r="G4" s="59">
        <f>AVERAGE(G2,G3)</f>
        <v>0</v>
      </c>
    </row>
    <row r="5" spans="1:39" x14ac:dyDescent="0.3">
      <c r="B5" s="1" t="s">
        <v>6</v>
      </c>
      <c r="C5" s="5">
        <f ca="1">ROUNDUP((C4-C3)/7,0)</f>
        <v>-2</v>
      </c>
    </row>
    <row r="6" spans="1:39" x14ac:dyDescent="0.3">
      <c r="B6" s="1" t="s">
        <v>130</v>
      </c>
      <c r="C6" s="58">
        <f>SUM(F10,F16,F21,F25,F30,F34,F39,F43,F48,F54,F60,F67,F72,F77)</f>
        <v>70</v>
      </c>
    </row>
    <row r="7" spans="1:39" s="8" customFormat="1" x14ac:dyDescent="0.3">
      <c r="A7" s="6"/>
      <c r="B7" s="6"/>
      <c r="C7" s="6"/>
      <c r="D7" s="7"/>
      <c r="E7" s="7"/>
      <c r="F7" s="6"/>
      <c r="G7" s="6"/>
      <c r="H7" s="6"/>
    </row>
    <row r="8" spans="1:39" s="10" customFormat="1" x14ac:dyDescent="0.3">
      <c r="A8" s="6" t="s">
        <v>7</v>
      </c>
      <c r="B8" s="6" t="s">
        <v>8</v>
      </c>
      <c r="C8" s="6" t="s">
        <v>9</v>
      </c>
      <c r="D8" s="7" t="s">
        <v>10</v>
      </c>
      <c r="E8" s="57" t="s">
        <v>11</v>
      </c>
      <c r="F8" s="6" t="s">
        <v>12</v>
      </c>
      <c r="G8" s="6" t="s">
        <v>13</v>
      </c>
      <c r="H8" s="6"/>
      <c r="I8" s="9">
        <f>C3</f>
        <v>46104</v>
      </c>
      <c r="J8" s="9">
        <f>I8+7</f>
        <v>46111</v>
      </c>
      <c r="K8" s="9">
        <f t="shared" ref="K8:AM8" si="0">J8+7</f>
        <v>46118</v>
      </c>
      <c r="L8" s="9">
        <f t="shared" si="0"/>
        <v>46125</v>
      </c>
      <c r="M8" s="9">
        <f t="shared" si="0"/>
        <v>46132</v>
      </c>
      <c r="N8" s="9">
        <f t="shared" si="0"/>
        <v>46139</v>
      </c>
      <c r="O8" s="9">
        <f t="shared" si="0"/>
        <v>46146</v>
      </c>
      <c r="P8" s="9">
        <f t="shared" si="0"/>
        <v>46153</v>
      </c>
      <c r="Q8" s="9">
        <f t="shared" si="0"/>
        <v>46160</v>
      </c>
      <c r="R8" s="9">
        <f t="shared" si="0"/>
        <v>46167</v>
      </c>
      <c r="S8" s="9">
        <f t="shared" si="0"/>
        <v>46174</v>
      </c>
      <c r="T8" s="9">
        <f t="shared" si="0"/>
        <v>46181</v>
      </c>
      <c r="U8" s="9">
        <f t="shared" si="0"/>
        <v>46188</v>
      </c>
      <c r="V8" s="9">
        <f t="shared" si="0"/>
        <v>46195</v>
      </c>
      <c r="W8" s="9">
        <f t="shared" si="0"/>
        <v>46202</v>
      </c>
      <c r="X8" s="9">
        <f t="shared" si="0"/>
        <v>46209</v>
      </c>
      <c r="Y8" s="9">
        <f t="shared" si="0"/>
        <v>46216</v>
      </c>
      <c r="Z8" s="9">
        <f t="shared" si="0"/>
        <v>46223</v>
      </c>
      <c r="AA8" s="9">
        <f t="shared" si="0"/>
        <v>46230</v>
      </c>
      <c r="AB8" s="9">
        <f t="shared" si="0"/>
        <v>46237</v>
      </c>
      <c r="AC8" s="9">
        <f t="shared" si="0"/>
        <v>46244</v>
      </c>
      <c r="AD8" s="9">
        <f t="shared" si="0"/>
        <v>46251</v>
      </c>
      <c r="AE8" s="9">
        <f t="shared" si="0"/>
        <v>46258</v>
      </c>
      <c r="AF8" s="9">
        <f t="shared" si="0"/>
        <v>46265</v>
      </c>
      <c r="AG8" s="9">
        <f t="shared" si="0"/>
        <v>46272</v>
      </c>
      <c r="AH8" s="9">
        <f t="shared" si="0"/>
        <v>46279</v>
      </c>
      <c r="AI8" s="9">
        <f t="shared" si="0"/>
        <v>46286</v>
      </c>
      <c r="AJ8" s="9">
        <f t="shared" si="0"/>
        <v>46293</v>
      </c>
      <c r="AK8" s="9">
        <f t="shared" si="0"/>
        <v>46300</v>
      </c>
      <c r="AL8" s="9">
        <f t="shared" si="0"/>
        <v>46307</v>
      </c>
      <c r="AM8" s="9">
        <f t="shared" si="0"/>
        <v>46314</v>
      </c>
    </row>
    <row r="9" spans="1:39" s="14" customFormat="1" x14ac:dyDescent="0.3">
      <c r="A9" s="11"/>
      <c r="B9" s="11"/>
      <c r="C9" s="11"/>
      <c r="D9" s="12"/>
      <c r="E9" s="12"/>
      <c r="F9" s="11"/>
      <c r="G9" s="11"/>
      <c r="H9" s="11"/>
      <c r="I9" s="13">
        <v>1</v>
      </c>
      <c r="J9" s="13">
        <f>I9+1</f>
        <v>2</v>
      </c>
      <c r="K9" s="13">
        <f t="shared" ref="K9:AM9" si="1">J9+1</f>
        <v>3</v>
      </c>
      <c r="L9" s="13">
        <f t="shared" si="1"/>
        <v>4</v>
      </c>
      <c r="M9" s="13">
        <f t="shared" si="1"/>
        <v>5</v>
      </c>
      <c r="N9" s="13">
        <f t="shared" si="1"/>
        <v>6</v>
      </c>
      <c r="O9" s="13">
        <f t="shared" si="1"/>
        <v>7</v>
      </c>
      <c r="P9" s="13">
        <f t="shared" si="1"/>
        <v>8</v>
      </c>
      <c r="Q9" s="13">
        <f t="shared" si="1"/>
        <v>9</v>
      </c>
      <c r="R9" s="13">
        <f t="shared" si="1"/>
        <v>10</v>
      </c>
      <c r="S9" s="13">
        <f t="shared" si="1"/>
        <v>11</v>
      </c>
      <c r="T9" s="13">
        <f t="shared" si="1"/>
        <v>12</v>
      </c>
      <c r="U9" s="13">
        <f t="shared" si="1"/>
        <v>13</v>
      </c>
      <c r="V9" s="13">
        <f t="shared" si="1"/>
        <v>14</v>
      </c>
      <c r="W9" s="13">
        <f t="shared" si="1"/>
        <v>15</v>
      </c>
      <c r="X9" s="13">
        <f t="shared" si="1"/>
        <v>16</v>
      </c>
      <c r="Y9" s="13">
        <f t="shared" si="1"/>
        <v>17</v>
      </c>
      <c r="Z9" s="13">
        <f t="shared" si="1"/>
        <v>18</v>
      </c>
      <c r="AA9" s="13">
        <f t="shared" si="1"/>
        <v>19</v>
      </c>
      <c r="AB9" s="13">
        <f t="shared" si="1"/>
        <v>20</v>
      </c>
      <c r="AC9" s="13">
        <f t="shared" si="1"/>
        <v>21</v>
      </c>
      <c r="AD9" s="13">
        <f t="shared" si="1"/>
        <v>22</v>
      </c>
      <c r="AE9" s="13">
        <f t="shared" si="1"/>
        <v>23</v>
      </c>
      <c r="AF9" s="13">
        <f t="shared" si="1"/>
        <v>24</v>
      </c>
      <c r="AG9" s="13">
        <f t="shared" si="1"/>
        <v>25</v>
      </c>
      <c r="AH9" s="13">
        <f t="shared" si="1"/>
        <v>26</v>
      </c>
      <c r="AI9" s="13">
        <f t="shared" si="1"/>
        <v>27</v>
      </c>
      <c r="AJ9" s="13">
        <f t="shared" si="1"/>
        <v>28</v>
      </c>
      <c r="AK9" s="13">
        <f t="shared" si="1"/>
        <v>29</v>
      </c>
      <c r="AL9" s="13">
        <f t="shared" si="1"/>
        <v>30</v>
      </c>
      <c r="AM9" s="13">
        <f t="shared" si="1"/>
        <v>31</v>
      </c>
    </row>
    <row r="10" spans="1:39" s="19" customFormat="1" x14ac:dyDescent="0.3">
      <c r="A10" s="15" t="s">
        <v>63</v>
      </c>
      <c r="B10" s="15"/>
      <c r="C10" s="14"/>
      <c r="D10" s="16"/>
      <c r="E10" s="16"/>
      <c r="F10" s="15">
        <f>SUM(F11:F15)</f>
        <v>7</v>
      </c>
      <c r="G10" s="15"/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x14ac:dyDescent="0.3">
      <c r="A11" s="20" t="s">
        <v>64</v>
      </c>
      <c r="B11" s="21" t="s">
        <v>61</v>
      </c>
      <c r="C11" s="21" t="s">
        <v>62</v>
      </c>
      <c r="D11" s="22">
        <f>C3</f>
        <v>46104</v>
      </c>
      <c r="E11" s="22">
        <f>D11+2</f>
        <v>46106</v>
      </c>
      <c r="F11" s="21">
        <f>IF(D11="","",E11-D11)</f>
        <v>2</v>
      </c>
      <c r="G11" s="23">
        <v>0</v>
      </c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spans="1:39" s="14" customFormat="1" x14ac:dyDescent="0.3">
      <c r="A12" s="20" t="s">
        <v>65</v>
      </c>
      <c r="B12" s="21" t="s">
        <v>61</v>
      </c>
      <c r="C12" s="21" t="s">
        <v>62</v>
      </c>
      <c r="D12" s="22">
        <f>E11+1</f>
        <v>46107</v>
      </c>
      <c r="E12" s="22">
        <f>D12+2</f>
        <v>46109</v>
      </c>
      <c r="F12" s="21">
        <f>IF(D12="","",E12-D12)</f>
        <v>2</v>
      </c>
      <c r="G12" s="23">
        <v>0</v>
      </c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spans="1:39" s="14" customFormat="1" x14ac:dyDescent="0.3">
      <c r="A13" s="30" t="s">
        <v>66</v>
      </c>
      <c r="B13" s="21" t="s">
        <v>61</v>
      </c>
      <c r="C13" s="21" t="s">
        <v>62</v>
      </c>
      <c r="D13" s="46">
        <f>E12+1</f>
        <v>46110</v>
      </c>
      <c r="E13" s="46">
        <f>D13+1</f>
        <v>46111</v>
      </c>
      <c r="F13" s="21">
        <f t="shared" ref="F13:F15" si="2">IF(D13="","",E13-D13)</f>
        <v>1</v>
      </c>
      <c r="G13" s="23">
        <v>0</v>
      </c>
      <c r="H13" s="47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spans="1:39" s="14" customFormat="1" x14ac:dyDescent="0.3">
      <c r="A14" s="30" t="s">
        <v>67</v>
      </c>
      <c r="B14" s="21" t="s">
        <v>61</v>
      </c>
      <c r="C14" s="21" t="s">
        <v>62</v>
      </c>
      <c r="D14" s="46">
        <f>E13+1</f>
        <v>46112</v>
      </c>
      <c r="E14" s="46">
        <f>D14+1</f>
        <v>46113</v>
      </c>
      <c r="F14" s="21">
        <f t="shared" si="2"/>
        <v>1</v>
      </c>
      <c r="G14" s="23">
        <v>0</v>
      </c>
      <c r="H14" s="47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pans="1:39" s="14" customFormat="1" x14ac:dyDescent="0.3">
      <c r="A15" s="30" t="s">
        <v>68</v>
      </c>
      <c r="B15" s="21" t="s">
        <v>61</v>
      </c>
      <c r="C15" s="21" t="s">
        <v>62</v>
      </c>
      <c r="D15" s="46">
        <f>E14+1</f>
        <v>46114</v>
      </c>
      <c r="E15" s="46">
        <f>D15+1</f>
        <v>46115</v>
      </c>
      <c r="F15" s="21">
        <f t="shared" si="2"/>
        <v>1</v>
      </c>
      <c r="G15" s="23">
        <v>0</v>
      </c>
      <c r="H15" s="47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spans="1:39" s="19" customFormat="1" x14ac:dyDescent="0.3">
      <c r="A16" s="15" t="s">
        <v>69</v>
      </c>
      <c r="B16" s="15"/>
      <c r="C16" s="14"/>
      <c r="D16" s="16"/>
      <c r="E16" s="16"/>
      <c r="F16" s="15">
        <f>SUM(F17:F20)</f>
        <v>7</v>
      </c>
      <c r="G16" s="15"/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x14ac:dyDescent="0.3">
      <c r="A17" s="39" t="s">
        <v>70</v>
      </c>
      <c r="B17" s="21" t="s">
        <v>61</v>
      </c>
      <c r="C17" s="21" t="s">
        <v>62</v>
      </c>
      <c r="D17" s="22">
        <f>E15+1</f>
        <v>46116</v>
      </c>
      <c r="E17" s="22">
        <f>D17+2</f>
        <v>46118</v>
      </c>
      <c r="F17" s="21">
        <f>IF(D17="","",E17-D17)</f>
        <v>2</v>
      </c>
      <c r="G17" s="23">
        <v>0</v>
      </c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spans="1:39" x14ac:dyDescent="0.3">
      <c r="A18" s="20" t="s">
        <v>71</v>
      </c>
      <c r="B18" s="21" t="s">
        <v>61</v>
      </c>
      <c r="C18" s="21" t="s">
        <v>62</v>
      </c>
      <c r="D18" s="22">
        <f>E17+1</f>
        <v>46119</v>
      </c>
      <c r="E18" s="22">
        <f>D18+3</f>
        <v>46122</v>
      </c>
      <c r="F18" s="21">
        <f>IF(D18="","",E18-D18)</f>
        <v>3</v>
      </c>
      <c r="G18" s="23">
        <v>0</v>
      </c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</row>
    <row r="19" spans="1:39" x14ac:dyDescent="0.3">
      <c r="A19" s="20" t="s">
        <v>72</v>
      </c>
      <c r="B19" s="21" t="s">
        <v>61</v>
      </c>
      <c r="C19" s="21" t="s">
        <v>62</v>
      </c>
      <c r="D19" s="22">
        <f>E18+1</f>
        <v>46123</v>
      </c>
      <c r="E19" s="22">
        <f>D19+1</f>
        <v>46124</v>
      </c>
      <c r="F19" s="21">
        <f t="shared" ref="F19:F78" si="3">IF(D19="","",E19-D19)</f>
        <v>1</v>
      </c>
      <c r="G19" s="23">
        <v>0</v>
      </c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</row>
    <row r="20" spans="1:39" x14ac:dyDescent="0.3">
      <c r="A20" s="39" t="s">
        <v>73</v>
      </c>
      <c r="B20" s="21" t="s">
        <v>61</v>
      </c>
      <c r="C20" s="21" t="s">
        <v>62</v>
      </c>
      <c r="D20" s="22">
        <f>E19+1</f>
        <v>46125</v>
      </c>
      <c r="E20" s="22">
        <f>D20+1</f>
        <v>46126</v>
      </c>
      <c r="F20" s="21">
        <f t="shared" si="3"/>
        <v>1</v>
      </c>
      <c r="G20" s="23">
        <v>0</v>
      </c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</row>
    <row r="21" spans="1:39" s="14" customFormat="1" x14ac:dyDescent="0.3">
      <c r="A21" s="15" t="s">
        <v>74</v>
      </c>
      <c r="B21" s="26"/>
      <c r="C21" s="26"/>
      <c r="D21" s="27"/>
      <c r="E21" s="27"/>
      <c r="F21" s="26">
        <f>SUM(F22:F24)</f>
        <v>4</v>
      </c>
      <c r="G21" s="27"/>
      <c r="H21" s="2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15.6" customHeight="1" x14ac:dyDescent="0.3">
      <c r="A22" s="20" t="s">
        <v>75</v>
      </c>
      <c r="B22" s="21" t="s">
        <v>61</v>
      </c>
      <c r="C22" s="21" t="s">
        <v>62</v>
      </c>
      <c r="D22" s="22">
        <f>E20+1</f>
        <v>46127</v>
      </c>
      <c r="E22" s="22">
        <f>D22+2</f>
        <v>46129</v>
      </c>
      <c r="F22" s="21">
        <f>IF(D22="","",E22-D22)</f>
        <v>2</v>
      </c>
      <c r="G22" s="23">
        <v>0</v>
      </c>
      <c r="H22" s="29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</row>
    <row r="23" spans="1:39" ht="15.6" customHeight="1" x14ac:dyDescent="0.3">
      <c r="A23" s="30" t="s">
        <v>76</v>
      </c>
      <c r="B23" s="21" t="s">
        <v>61</v>
      </c>
      <c r="C23" s="21" t="s">
        <v>62</v>
      </c>
      <c r="D23" s="22">
        <f>E22+1</f>
        <v>46130</v>
      </c>
      <c r="E23" s="22">
        <f>D23+1</f>
        <v>46131</v>
      </c>
      <c r="F23" s="21">
        <f t="shared" si="3"/>
        <v>1</v>
      </c>
      <c r="G23" s="23">
        <v>0</v>
      </c>
      <c r="H23" s="29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</row>
    <row r="24" spans="1:39" ht="15.6" customHeight="1" x14ac:dyDescent="0.3">
      <c r="A24" s="30" t="s">
        <v>77</v>
      </c>
      <c r="B24" s="21" t="s">
        <v>61</v>
      </c>
      <c r="C24" s="21" t="s">
        <v>62</v>
      </c>
      <c r="D24" s="22">
        <f>E23+1</f>
        <v>46132</v>
      </c>
      <c r="E24" s="22">
        <f>D24+1</f>
        <v>46133</v>
      </c>
      <c r="F24" s="21">
        <f t="shared" si="3"/>
        <v>1</v>
      </c>
      <c r="G24" s="23">
        <v>0</v>
      </c>
      <c r="H24" s="29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</row>
    <row r="25" spans="1:39" s="14" customFormat="1" x14ac:dyDescent="0.3">
      <c r="A25" s="15" t="s">
        <v>78</v>
      </c>
      <c r="B25" s="26"/>
      <c r="C25" s="26"/>
      <c r="D25" s="27"/>
      <c r="E25" s="27"/>
      <c r="F25" s="26">
        <f>SUM(F26:F29)</f>
        <v>7</v>
      </c>
      <c r="G25" s="27"/>
      <c r="H25" s="2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44.4" customHeight="1" x14ac:dyDescent="0.3">
      <c r="A26" s="54" t="s">
        <v>79</v>
      </c>
      <c r="B26" s="21" t="s">
        <v>61</v>
      </c>
      <c r="C26" s="21" t="s">
        <v>62</v>
      </c>
      <c r="D26" s="22">
        <f>E24+1</f>
        <v>46134</v>
      </c>
      <c r="E26" s="22">
        <f>D26+3</f>
        <v>46137</v>
      </c>
      <c r="F26" s="21">
        <f t="shared" si="3"/>
        <v>3</v>
      </c>
      <c r="G26" s="23">
        <v>0</v>
      </c>
      <c r="H26" s="29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</row>
    <row r="27" spans="1:39" ht="15.6" customHeight="1" x14ac:dyDescent="0.3">
      <c r="A27" s="30" t="s">
        <v>80</v>
      </c>
      <c r="B27" s="21" t="s">
        <v>61</v>
      </c>
      <c r="C27" s="21" t="s">
        <v>62</v>
      </c>
      <c r="D27" s="22">
        <f>E26+1</f>
        <v>46138</v>
      </c>
      <c r="E27" s="22">
        <f>D27+2</f>
        <v>46140</v>
      </c>
      <c r="F27" s="21">
        <f t="shared" si="3"/>
        <v>2</v>
      </c>
      <c r="G27" s="23">
        <v>0</v>
      </c>
      <c r="H27" s="29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</row>
    <row r="28" spans="1:39" ht="15.6" customHeight="1" x14ac:dyDescent="0.3">
      <c r="A28" s="30" t="s">
        <v>81</v>
      </c>
      <c r="B28" s="21" t="s">
        <v>61</v>
      </c>
      <c r="C28" s="21" t="s">
        <v>62</v>
      </c>
      <c r="D28" s="22">
        <f>E27+1</f>
        <v>46141</v>
      </c>
      <c r="E28" s="22">
        <f>D28+1</f>
        <v>46142</v>
      </c>
      <c r="F28" s="21">
        <f t="shared" si="3"/>
        <v>1</v>
      </c>
      <c r="G28" s="23">
        <v>0</v>
      </c>
      <c r="H28" s="29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</row>
    <row r="29" spans="1:39" ht="15.6" customHeight="1" x14ac:dyDescent="0.3">
      <c r="A29" s="30" t="s">
        <v>82</v>
      </c>
      <c r="B29" s="21" t="s">
        <v>61</v>
      </c>
      <c r="C29" s="21" t="s">
        <v>62</v>
      </c>
      <c r="D29" s="22">
        <f>E28+1</f>
        <v>46143</v>
      </c>
      <c r="E29" s="22">
        <f>D29+1</f>
        <v>46144</v>
      </c>
      <c r="F29" s="21">
        <f t="shared" si="3"/>
        <v>1</v>
      </c>
      <c r="G29" s="23">
        <v>0</v>
      </c>
      <c r="H29" s="29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</row>
    <row r="30" spans="1:39" s="14" customFormat="1" x14ac:dyDescent="0.3">
      <c r="A30" s="15" t="s">
        <v>83</v>
      </c>
      <c r="B30" s="26"/>
      <c r="C30" s="26"/>
      <c r="D30" s="27"/>
      <c r="E30" s="27"/>
      <c r="F30" s="26">
        <f>SUM(F31:F33)</f>
        <v>4</v>
      </c>
      <c r="G30" s="27"/>
      <c r="H30" s="2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28.8" x14ac:dyDescent="0.3">
      <c r="A31" s="53" t="s">
        <v>84</v>
      </c>
      <c r="B31" s="21" t="s">
        <v>61</v>
      </c>
      <c r="C31" s="21" t="s">
        <v>62</v>
      </c>
      <c r="D31" s="22">
        <f>E29+1</f>
        <v>46145</v>
      </c>
      <c r="E31" s="22">
        <f>D31+2</f>
        <v>46147</v>
      </c>
      <c r="F31" s="21">
        <f t="shared" si="3"/>
        <v>2</v>
      </c>
      <c r="G31" s="23">
        <v>0</v>
      </c>
      <c r="H31" s="29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</row>
    <row r="32" spans="1:39" x14ac:dyDescent="0.3">
      <c r="A32" s="20" t="s">
        <v>85</v>
      </c>
      <c r="B32" s="21" t="s">
        <v>61</v>
      </c>
      <c r="C32" s="21" t="s">
        <v>62</v>
      </c>
      <c r="D32" s="22">
        <f>E31+1</f>
        <v>46148</v>
      </c>
      <c r="E32" s="22">
        <f>D32+1</f>
        <v>46149</v>
      </c>
      <c r="F32" s="21">
        <f t="shared" si="3"/>
        <v>1</v>
      </c>
      <c r="G32" s="23">
        <v>0</v>
      </c>
      <c r="H32" s="29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</row>
    <row r="33" spans="1:39" x14ac:dyDescent="0.3">
      <c r="A33" s="20" t="s">
        <v>86</v>
      </c>
      <c r="B33" s="21" t="s">
        <v>61</v>
      </c>
      <c r="C33" s="21" t="s">
        <v>62</v>
      </c>
      <c r="D33" s="22">
        <f>E32+1</f>
        <v>46150</v>
      </c>
      <c r="E33" s="22">
        <f>D33+1</f>
        <v>46151</v>
      </c>
      <c r="F33" s="21">
        <f t="shared" si="3"/>
        <v>1</v>
      </c>
      <c r="G33" s="23">
        <v>0</v>
      </c>
      <c r="H33" s="29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</row>
    <row r="34" spans="1:39" s="14" customFormat="1" x14ac:dyDescent="0.3">
      <c r="A34" s="15" t="s">
        <v>87</v>
      </c>
      <c r="B34" s="26"/>
      <c r="C34" s="26"/>
      <c r="D34" s="27"/>
      <c r="E34" s="27"/>
      <c r="F34" s="26">
        <f>SUM(F35:F38)</f>
        <v>5</v>
      </c>
      <c r="G34" s="27"/>
      <c r="H34" s="2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s="52" customFormat="1" x14ac:dyDescent="0.3">
      <c r="A35" s="48" t="s">
        <v>88</v>
      </c>
      <c r="B35" s="21" t="s">
        <v>61</v>
      </c>
      <c r="C35" s="21" t="s">
        <v>62</v>
      </c>
      <c r="D35" s="49">
        <f>E33+1</f>
        <v>46152</v>
      </c>
      <c r="E35" s="49">
        <f>D35+2</f>
        <v>46154</v>
      </c>
      <c r="F35" s="21">
        <f t="shared" si="3"/>
        <v>2</v>
      </c>
      <c r="G35" s="23">
        <v>0</v>
      </c>
      <c r="H35" s="50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</row>
    <row r="36" spans="1:39" s="52" customFormat="1" x14ac:dyDescent="0.3">
      <c r="A36" s="48" t="s">
        <v>89</v>
      </c>
      <c r="B36" s="21" t="s">
        <v>61</v>
      </c>
      <c r="C36" s="21" t="s">
        <v>62</v>
      </c>
      <c r="D36" s="49">
        <f>E35+1</f>
        <v>46155</v>
      </c>
      <c r="E36" s="49">
        <f>D36+1</f>
        <v>46156</v>
      </c>
      <c r="F36" s="21">
        <f t="shared" si="3"/>
        <v>1</v>
      </c>
      <c r="G36" s="23">
        <v>0</v>
      </c>
      <c r="H36" s="50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</row>
    <row r="37" spans="1:39" s="52" customFormat="1" x14ac:dyDescent="0.3">
      <c r="A37" s="48" t="s">
        <v>90</v>
      </c>
      <c r="B37" s="21" t="s">
        <v>61</v>
      </c>
      <c r="C37" s="21" t="s">
        <v>62</v>
      </c>
      <c r="D37" s="49">
        <f t="shared" ref="D37:D38" si="4">E36+1</f>
        <v>46157</v>
      </c>
      <c r="E37" s="49">
        <f t="shared" ref="E37:E38" si="5">D37+1</f>
        <v>46158</v>
      </c>
      <c r="F37" s="21">
        <f t="shared" si="3"/>
        <v>1</v>
      </c>
      <c r="G37" s="23">
        <v>0</v>
      </c>
      <c r="H37" s="50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</row>
    <row r="38" spans="1:39" s="52" customFormat="1" x14ac:dyDescent="0.3">
      <c r="A38" s="48" t="s">
        <v>91</v>
      </c>
      <c r="B38" s="21" t="s">
        <v>61</v>
      </c>
      <c r="C38" s="21" t="s">
        <v>62</v>
      </c>
      <c r="D38" s="49">
        <f t="shared" si="4"/>
        <v>46159</v>
      </c>
      <c r="E38" s="49">
        <f t="shared" si="5"/>
        <v>46160</v>
      </c>
      <c r="F38" s="21">
        <f t="shared" si="3"/>
        <v>1</v>
      </c>
      <c r="G38" s="23">
        <v>0</v>
      </c>
      <c r="H38" s="50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</row>
    <row r="39" spans="1:39" s="14" customFormat="1" x14ac:dyDescent="0.3">
      <c r="A39" s="15" t="s">
        <v>92</v>
      </c>
      <c r="B39" s="26"/>
      <c r="C39" s="26"/>
      <c r="D39" s="27"/>
      <c r="E39" s="27"/>
      <c r="F39" s="26">
        <f>SUM(F40:F42)</f>
        <v>4</v>
      </c>
      <c r="G39" s="27"/>
      <c r="H39" s="2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spans="1:39" x14ac:dyDescent="0.3">
      <c r="A40" s="20" t="s">
        <v>93</v>
      </c>
      <c r="B40" s="21" t="s">
        <v>61</v>
      </c>
      <c r="C40" s="21" t="s">
        <v>62</v>
      </c>
      <c r="D40" s="22">
        <f>E38+1</f>
        <v>46161</v>
      </c>
      <c r="E40" s="22">
        <f>D40+2</f>
        <v>46163</v>
      </c>
      <c r="F40" s="21">
        <f t="shared" si="3"/>
        <v>2</v>
      </c>
      <c r="G40" s="23">
        <v>0</v>
      </c>
      <c r="H40" s="29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</row>
    <row r="41" spans="1:39" s="52" customFormat="1" x14ac:dyDescent="0.3">
      <c r="A41" s="48" t="s">
        <v>94</v>
      </c>
      <c r="B41" s="21" t="s">
        <v>61</v>
      </c>
      <c r="C41" s="21" t="s">
        <v>62</v>
      </c>
      <c r="D41" s="22">
        <f>E40+1</f>
        <v>46164</v>
      </c>
      <c r="E41" s="22">
        <f>D41+1</f>
        <v>46165</v>
      </c>
      <c r="F41" s="21">
        <f t="shared" si="3"/>
        <v>1</v>
      </c>
      <c r="G41" s="23">
        <v>0</v>
      </c>
      <c r="H41" s="50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</row>
    <row r="42" spans="1:39" s="52" customFormat="1" x14ac:dyDescent="0.3">
      <c r="A42" s="48" t="s">
        <v>95</v>
      </c>
      <c r="B42" s="21" t="s">
        <v>61</v>
      </c>
      <c r="C42" s="21" t="s">
        <v>62</v>
      </c>
      <c r="D42" s="22">
        <f>E41+1</f>
        <v>46166</v>
      </c>
      <c r="E42" s="22">
        <f>D42+1</f>
        <v>46167</v>
      </c>
      <c r="F42" s="21">
        <f t="shared" si="3"/>
        <v>1</v>
      </c>
      <c r="G42" s="23">
        <v>0</v>
      </c>
      <c r="H42" s="50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</row>
    <row r="43" spans="1:39" s="14" customFormat="1" x14ac:dyDescent="0.3">
      <c r="A43" s="15" t="s">
        <v>96</v>
      </c>
      <c r="B43" s="26"/>
      <c r="C43" s="26"/>
      <c r="D43" s="27"/>
      <c r="E43" s="27"/>
      <c r="F43" s="26">
        <f>SUM(F44:F47)</f>
        <v>5</v>
      </c>
      <c r="G43" s="27"/>
      <c r="H43" s="2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 spans="1:39" x14ac:dyDescent="0.3">
      <c r="A44" s="20" t="s">
        <v>97</v>
      </c>
      <c r="B44" s="21" t="s">
        <v>61</v>
      </c>
      <c r="C44" s="21" t="s">
        <v>62</v>
      </c>
      <c r="D44" s="22">
        <f>E42+1</f>
        <v>46168</v>
      </c>
      <c r="E44" s="22">
        <f>D44+2</f>
        <v>46170</v>
      </c>
      <c r="F44" s="21">
        <f t="shared" si="3"/>
        <v>2</v>
      </c>
      <c r="G44" s="23">
        <v>0</v>
      </c>
      <c r="H44" s="29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</row>
    <row r="45" spans="1:39" x14ac:dyDescent="0.3">
      <c r="A45" s="30" t="s">
        <v>98</v>
      </c>
      <c r="B45" s="21" t="s">
        <v>61</v>
      </c>
      <c r="C45" s="21" t="s">
        <v>62</v>
      </c>
      <c r="D45" s="22">
        <f>E44+1</f>
        <v>46171</v>
      </c>
      <c r="E45" s="22">
        <f>D45+1</f>
        <v>46172</v>
      </c>
      <c r="F45" s="21">
        <f t="shared" si="3"/>
        <v>1</v>
      </c>
      <c r="G45" s="23">
        <v>0</v>
      </c>
      <c r="H45" s="29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</row>
    <row r="46" spans="1:39" x14ac:dyDescent="0.3">
      <c r="A46" s="30" t="s">
        <v>99</v>
      </c>
      <c r="B46" s="21" t="s">
        <v>61</v>
      </c>
      <c r="C46" s="21" t="s">
        <v>62</v>
      </c>
      <c r="D46" s="22">
        <f>E45+1</f>
        <v>46173</v>
      </c>
      <c r="E46" s="22">
        <f>D46+1</f>
        <v>46174</v>
      </c>
      <c r="F46" s="21">
        <f t="shared" si="3"/>
        <v>1</v>
      </c>
      <c r="G46" s="23">
        <v>0</v>
      </c>
      <c r="H46" s="29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</row>
    <row r="47" spans="1:39" x14ac:dyDescent="0.3">
      <c r="A47" s="30" t="s">
        <v>100</v>
      </c>
      <c r="B47" s="21" t="s">
        <v>61</v>
      </c>
      <c r="C47" s="21" t="s">
        <v>62</v>
      </c>
      <c r="D47" s="22">
        <f>E46+1</f>
        <v>46175</v>
      </c>
      <c r="E47" s="22">
        <f>D47+1</f>
        <v>46176</v>
      </c>
      <c r="F47" s="21">
        <f t="shared" si="3"/>
        <v>1</v>
      </c>
      <c r="G47" s="23">
        <v>0</v>
      </c>
      <c r="H47" s="29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</row>
    <row r="48" spans="1:39" s="14" customFormat="1" x14ac:dyDescent="0.3">
      <c r="A48" s="15" t="s">
        <v>101</v>
      </c>
      <c r="B48" s="26"/>
      <c r="C48" s="26"/>
      <c r="D48" s="27"/>
      <c r="E48" s="27"/>
      <c r="F48" s="26">
        <f>SUM(F49:F53)</f>
        <v>7</v>
      </c>
      <c r="G48" s="27"/>
      <c r="H48" s="2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 spans="1:39" x14ac:dyDescent="0.3">
      <c r="A49" s="20" t="s">
        <v>102</v>
      </c>
      <c r="B49" s="21" t="s">
        <v>61</v>
      </c>
      <c r="C49" s="21" t="s">
        <v>62</v>
      </c>
      <c r="D49" s="22">
        <f>E47+1</f>
        <v>46177</v>
      </c>
      <c r="E49" s="22">
        <f>D49+2</f>
        <v>46179</v>
      </c>
      <c r="F49" s="21">
        <f t="shared" si="3"/>
        <v>2</v>
      </c>
      <c r="G49" s="23">
        <v>0</v>
      </c>
      <c r="H49" s="29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</row>
    <row r="50" spans="1:39" x14ac:dyDescent="0.3">
      <c r="A50" s="20" t="s">
        <v>103</v>
      </c>
      <c r="B50" s="21" t="s">
        <v>61</v>
      </c>
      <c r="C50" s="21" t="s">
        <v>62</v>
      </c>
      <c r="D50" s="22">
        <f>E49+1</f>
        <v>46180</v>
      </c>
      <c r="E50" s="22">
        <f>D50+1</f>
        <v>46181</v>
      </c>
      <c r="F50" s="21">
        <f t="shared" si="3"/>
        <v>1</v>
      </c>
      <c r="G50" s="23">
        <v>0</v>
      </c>
      <c r="H50" s="29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</row>
    <row r="51" spans="1:39" x14ac:dyDescent="0.3">
      <c r="A51" s="30" t="s">
        <v>104</v>
      </c>
      <c r="B51" s="21" t="s">
        <v>61</v>
      </c>
      <c r="C51" s="21" t="s">
        <v>62</v>
      </c>
      <c r="D51" s="22">
        <f>E50+1</f>
        <v>46182</v>
      </c>
      <c r="E51" s="22">
        <f>D51+2</f>
        <v>46184</v>
      </c>
      <c r="F51" s="21">
        <f t="shared" si="3"/>
        <v>2</v>
      </c>
      <c r="G51" s="23">
        <v>0</v>
      </c>
      <c r="H51" s="5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</row>
    <row r="52" spans="1:39" x14ac:dyDescent="0.3">
      <c r="A52" s="30" t="s">
        <v>105</v>
      </c>
      <c r="B52" s="21" t="s">
        <v>61</v>
      </c>
      <c r="C52" s="21" t="s">
        <v>62</v>
      </c>
      <c r="D52" s="22">
        <f>E51+1</f>
        <v>46185</v>
      </c>
      <c r="E52" s="22">
        <f>D52+1</f>
        <v>46186</v>
      </c>
      <c r="F52" s="21">
        <f t="shared" si="3"/>
        <v>1</v>
      </c>
      <c r="G52" s="23">
        <v>0</v>
      </c>
      <c r="H52" s="5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</row>
    <row r="53" spans="1:39" x14ac:dyDescent="0.3">
      <c r="A53" s="30" t="s">
        <v>106</v>
      </c>
      <c r="B53" s="21" t="s">
        <v>61</v>
      </c>
      <c r="C53" s="21" t="s">
        <v>62</v>
      </c>
      <c r="D53" s="22">
        <f>E52+1</f>
        <v>46187</v>
      </c>
      <c r="E53" s="22">
        <f>D53+1</f>
        <v>46188</v>
      </c>
      <c r="F53" s="21">
        <f t="shared" si="3"/>
        <v>1</v>
      </c>
      <c r="G53" s="23">
        <v>0</v>
      </c>
      <c r="H53" s="5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</row>
    <row r="54" spans="1:39" s="19" customFormat="1" x14ac:dyDescent="0.3">
      <c r="A54" s="15" t="s">
        <v>107</v>
      </c>
      <c r="B54" s="15"/>
      <c r="C54" s="14"/>
      <c r="D54" s="16"/>
      <c r="E54" s="16"/>
      <c r="F54" s="15">
        <f>SUM(F55:F59)</f>
        <v>5</v>
      </c>
      <c r="G54" s="15"/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 spans="1:39" x14ac:dyDescent="0.3">
      <c r="A55" s="20" t="s">
        <v>108</v>
      </c>
      <c r="B55" s="21" t="s">
        <v>61</v>
      </c>
      <c r="C55" s="21" t="s">
        <v>62</v>
      </c>
      <c r="D55" s="22">
        <f>E53+1</f>
        <v>46189</v>
      </c>
      <c r="E55" s="22">
        <f>D55+1</f>
        <v>46190</v>
      </c>
      <c r="F55" s="21">
        <f t="shared" si="3"/>
        <v>1</v>
      </c>
      <c r="G55" s="23">
        <v>0</v>
      </c>
      <c r="H55" s="29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</row>
    <row r="56" spans="1:39" x14ac:dyDescent="0.3">
      <c r="A56" s="20" t="s">
        <v>109</v>
      </c>
      <c r="B56" s="21" t="s">
        <v>61</v>
      </c>
      <c r="C56" s="21" t="s">
        <v>62</v>
      </c>
      <c r="D56" s="22">
        <f>E55+1</f>
        <v>46191</v>
      </c>
      <c r="E56" s="22">
        <f t="shared" ref="E56:E59" si="6">D56+1</f>
        <v>46192</v>
      </c>
      <c r="F56" s="21">
        <f t="shared" si="3"/>
        <v>1</v>
      </c>
      <c r="G56" s="23">
        <v>0</v>
      </c>
      <c r="H56" s="29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</row>
    <row r="57" spans="1:39" x14ac:dyDescent="0.3">
      <c r="A57" s="20" t="s">
        <v>110</v>
      </c>
      <c r="B57" s="21" t="s">
        <v>61</v>
      </c>
      <c r="C57" s="21" t="s">
        <v>62</v>
      </c>
      <c r="D57" s="22">
        <f>E56+1</f>
        <v>46193</v>
      </c>
      <c r="E57" s="22">
        <f t="shared" si="6"/>
        <v>46194</v>
      </c>
      <c r="F57" s="21">
        <f t="shared" si="3"/>
        <v>1</v>
      </c>
      <c r="G57" s="23">
        <v>0</v>
      </c>
      <c r="H57" s="29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</row>
    <row r="58" spans="1:39" x14ac:dyDescent="0.3">
      <c r="A58" s="20" t="s">
        <v>111</v>
      </c>
      <c r="B58" s="21" t="s">
        <v>61</v>
      </c>
      <c r="C58" s="21" t="s">
        <v>62</v>
      </c>
      <c r="D58" s="22">
        <f>E57+1</f>
        <v>46195</v>
      </c>
      <c r="E58" s="22">
        <f t="shared" si="6"/>
        <v>46196</v>
      </c>
      <c r="F58" s="21">
        <f t="shared" si="3"/>
        <v>1</v>
      </c>
      <c r="G58" s="23">
        <v>0</v>
      </c>
      <c r="H58" s="29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</row>
    <row r="59" spans="1:39" x14ac:dyDescent="0.3">
      <c r="A59" s="20" t="s">
        <v>112</v>
      </c>
      <c r="B59" s="21" t="s">
        <v>61</v>
      </c>
      <c r="C59" s="21" t="s">
        <v>62</v>
      </c>
      <c r="D59" s="22">
        <f>E58+1</f>
        <v>46197</v>
      </c>
      <c r="E59" s="22">
        <f t="shared" si="6"/>
        <v>46198</v>
      </c>
      <c r="F59" s="21">
        <f t="shared" si="3"/>
        <v>1</v>
      </c>
      <c r="G59" s="23">
        <v>0</v>
      </c>
      <c r="H59" s="29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</row>
    <row r="60" spans="1:39" s="19" customFormat="1" x14ac:dyDescent="0.3">
      <c r="A60" s="15" t="s">
        <v>113</v>
      </c>
      <c r="B60" s="15"/>
      <c r="C60" s="14"/>
      <c r="D60" s="16"/>
      <c r="E60" s="16"/>
      <c r="F60" s="15">
        <f>SUM(F61:F66)</f>
        <v>6</v>
      </c>
      <c r="G60" s="15"/>
      <c r="H60" s="1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</row>
    <row r="61" spans="1:39" x14ac:dyDescent="0.3">
      <c r="A61" s="39" t="s">
        <v>114</v>
      </c>
      <c r="B61" s="21" t="s">
        <v>61</v>
      </c>
      <c r="C61" s="21" t="s">
        <v>62</v>
      </c>
      <c r="D61" s="22">
        <f>E59+1</f>
        <v>46199</v>
      </c>
      <c r="E61" s="22">
        <f t="shared" ref="E61:E66" si="7">D61+1</f>
        <v>46200</v>
      </c>
      <c r="F61" s="21">
        <f t="shared" si="3"/>
        <v>1</v>
      </c>
      <c r="G61" s="23">
        <v>0</v>
      </c>
      <c r="H61" s="29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</row>
    <row r="62" spans="1:39" x14ac:dyDescent="0.3">
      <c r="A62" s="56" t="s">
        <v>115</v>
      </c>
      <c r="B62" s="21" t="s">
        <v>61</v>
      </c>
      <c r="C62" s="21" t="s">
        <v>62</v>
      </c>
      <c r="D62" s="22">
        <f>E61+1</f>
        <v>46201</v>
      </c>
      <c r="E62" s="22">
        <f t="shared" si="7"/>
        <v>46202</v>
      </c>
      <c r="F62" s="21">
        <f t="shared" si="3"/>
        <v>1</v>
      </c>
      <c r="G62" s="23">
        <v>0</v>
      </c>
      <c r="H62" s="29"/>
    </row>
    <row r="63" spans="1:39" x14ac:dyDescent="0.3">
      <c r="A63" s="56" t="s">
        <v>116</v>
      </c>
      <c r="B63" s="21" t="s">
        <v>61</v>
      </c>
      <c r="C63" s="21" t="s">
        <v>62</v>
      </c>
      <c r="D63" s="22">
        <f>E62+1</f>
        <v>46203</v>
      </c>
      <c r="E63" s="22">
        <f t="shared" si="7"/>
        <v>46204</v>
      </c>
      <c r="F63" s="21">
        <f t="shared" si="3"/>
        <v>1</v>
      </c>
      <c r="G63" s="23">
        <v>0</v>
      </c>
      <c r="H63" s="29"/>
    </row>
    <row r="64" spans="1:39" x14ac:dyDescent="0.3">
      <c r="A64" s="56" t="s">
        <v>117</v>
      </c>
      <c r="B64" s="21" t="s">
        <v>61</v>
      </c>
      <c r="C64" s="21" t="s">
        <v>62</v>
      </c>
      <c r="D64" s="22">
        <f>E63+1</f>
        <v>46205</v>
      </c>
      <c r="E64" s="22">
        <f t="shared" si="7"/>
        <v>46206</v>
      </c>
      <c r="F64" s="21">
        <f t="shared" si="3"/>
        <v>1</v>
      </c>
      <c r="G64" s="23">
        <v>0</v>
      </c>
      <c r="H64" s="29"/>
    </row>
    <row r="65" spans="1:39" x14ac:dyDescent="0.3">
      <c r="A65" s="56" t="s">
        <v>118</v>
      </c>
      <c r="B65" s="21" t="s">
        <v>61</v>
      </c>
      <c r="C65" s="21" t="s">
        <v>62</v>
      </c>
      <c r="D65" s="22">
        <f>E64+1</f>
        <v>46207</v>
      </c>
      <c r="E65" s="22">
        <f t="shared" si="7"/>
        <v>46208</v>
      </c>
      <c r="F65" s="21">
        <f t="shared" si="3"/>
        <v>1</v>
      </c>
      <c r="G65" s="23">
        <v>0</v>
      </c>
      <c r="H65" s="29"/>
    </row>
    <row r="66" spans="1:39" x14ac:dyDescent="0.3">
      <c r="A66" s="56" t="s">
        <v>119</v>
      </c>
      <c r="B66" s="21" t="s">
        <v>61</v>
      </c>
      <c r="C66" s="21" t="s">
        <v>62</v>
      </c>
      <c r="D66" s="22">
        <f>E65+1</f>
        <v>46209</v>
      </c>
      <c r="E66" s="22">
        <f t="shared" si="7"/>
        <v>46210</v>
      </c>
      <c r="F66" s="21">
        <f t="shared" si="3"/>
        <v>1</v>
      </c>
      <c r="G66" s="23">
        <v>0</v>
      </c>
      <c r="H66" s="29"/>
    </row>
    <row r="67" spans="1:39" s="19" customFormat="1" x14ac:dyDescent="0.3">
      <c r="A67" s="15" t="s">
        <v>120</v>
      </c>
      <c r="B67" s="15"/>
      <c r="C67" s="14"/>
      <c r="D67" s="16"/>
      <c r="E67" s="16"/>
      <c r="F67" s="15">
        <f>SUM(F68:F71)</f>
        <v>4</v>
      </c>
      <c r="G67" s="15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</row>
    <row r="68" spans="1:39" x14ac:dyDescent="0.3">
      <c r="A68" s="20" t="s">
        <v>121</v>
      </c>
      <c r="B68" s="21" t="s">
        <v>61</v>
      </c>
      <c r="C68" s="21" t="s">
        <v>62</v>
      </c>
      <c r="D68" s="22">
        <f>E66+1</f>
        <v>46211</v>
      </c>
      <c r="E68" s="22">
        <f>D68+1</f>
        <v>46212</v>
      </c>
      <c r="F68" s="21">
        <f t="shared" si="3"/>
        <v>1</v>
      </c>
      <c r="G68" s="23">
        <v>0</v>
      </c>
      <c r="H68" s="29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</row>
    <row r="69" spans="1:39" x14ac:dyDescent="0.3">
      <c r="A69" s="20" t="s">
        <v>122</v>
      </c>
      <c r="B69" s="21" t="s">
        <v>61</v>
      </c>
      <c r="C69" s="21" t="s">
        <v>62</v>
      </c>
      <c r="D69" s="22">
        <f>E68+1</f>
        <v>46213</v>
      </c>
      <c r="E69" s="22">
        <f>D69+1</f>
        <v>46214</v>
      </c>
      <c r="F69" s="21">
        <f t="shared" si="3"/>
        <v>1</v>
      </c>
      <c r="G69" s="23">
        <v>0</v>
      </c>
      <c r="H69" s="29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</row>
    <row r="70" spans="1:39" x14ac:dyDescent="0.3">
      <c r="A70" s="20" t="s">
        <v>123</v>
      </c>
      <c r="B70" s="21" t="s">
        <v>61</v>
      </c>
      <c r="C70" s="21" t="s">
        <v>62</v>
      </c>
      <c r="D70" s="22">
        <f>E69+1</f>
        <v>46215</v>
      </c>
      <c r="E70" s="22">
        <f>D70+1</f>
        <v>46216</v>
      </c>
      <c r="F70" s="21">
        <f t="shared" si="3"/>
        <v>1</v>
      </c>
      <c r="G70" s="23">
        <v>0</v>
      </c>
      <c r="H70" s="29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</row>
    <row r="71" spans="1:39" x14ac:dyDescent="0.3">
      <c r="A71" s="20" t="s">
        <v>124</v>
      </c>
      <c r="B71" s="21" t="s">
        <v>61</v>
      </c>
      <c r="C71" s="21" t="s">
        <v>62</v>
      </c>
      <c r="D71" s="22">
        <f>E70+1</f>
        <v>46217</v>
      </c>
      <c r="E71" s="22">
        <f>D71+1</f>
        <v>46218</v>
      </c>
      <c r="F71" s="21">
        <f t="shared" si="3"/>
        <v>1</v>
      </c>
      <c r="G71" s="23">
        <v>0</v>
      </c>
      <c r="H71" s="29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</row>
    <row r="72" spans="1:39" s="19" customFormat="1" x14ac:dyDescent="0.3">
      <c r="A72" s="15" t="s">
        <v>125</v>
      </c>
      <c r="B72" s="15"/>
      <c r="C72" s="14"/>
      <c r="D72" s="16"/>
      <c r="E72" s="16"/>
      <c r="F72" s="15">
        <f>SUM(F73:F76)</f>
        <v>4</v>
      </c>
      <c r="G72" s="15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</row>
    <row r="73" spans="1:39" x14ac:dyDescent="0.3">
      <c r="A73" s="20" t="s">
        <v>126</v>
      </c>
      <c r="B73" s="21" t="s">
        <v>61</v>
      </c>
      <c r="C73" s="21" t="s">
        <v>62</v>
      </c>
      <c r="D73" s="22">
        <f>E71+2</f>
        <v>46220</v>
      </c>
      <c r="E73" s="22">
        <f>D73+1</f>
        <v>46221</v>
      </c>
      <c r="F73" s="21">
        <f t="shared" si="3"/>
        <v>1</v>
      </c>
      <c r="G73" s="23">
        <v>0</v>
      </c>
      <c r="H73" s="29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  <row r="74" spans="1:39" x14ac:dyDescent="0.3">
      <c r="A74" s="20" t="s">
        <v>127</v>
      </c>
      <c r="B74" s="21" t="s">
        <v>61</v>
      </c>
      <c r="C74" s="21" t="s">
        <v>62</v>
      </c>
      <c r="D74" s="22">
        <f>E73+1</f>
        <v>46222</v>
      </c>
      <c r="E74" s="22">
        <f>D74+1</f>
        <v>46223</v>
      </c>
      <c r="F74" s="21">
        <f t="shared" si="3"/>
        <v>1</v>
      </c>
      <c r="G74" s="23">
        <v>0</v>
      </c>
      <c r="H74" s="29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</row>
    <row r="75" spans="1:39" x14ac:dyDescent="0.3">
      <c r="A75" s="20" t="s">
        <v>128</v>
      </c>
      <c r="B75" s="21" t="s">
        <v>61</v>
      </c>
      <c r="C75" s="21" t="s">
        <v>62</v>
      </c>
      <c r="D75" s="22">
        <f>E74+1</f>
        <v>46224</v>
      </c>
      <c r="E75" s="22">
        <f>D75+1</f>
        <v>46225</v>
      </c>
      <c r="F75" s="21">
        <f t="shared" si="3"/>
        <v>1</v>
      </c>
      <c r="G75" s="23">
        <v>0</v>
      </c>
      <c r="H75" s="21"/>
    </row>
    <row r="76" spans="1:39" x14ac:dyDescent="0.3">
      <c r="A76" s="20" t="s">
        <v>129</v>
      </c>
      <c r="B76" s="21" t="s">
        <v>61</v>
      </c>
      <c r="C76" s="21" t="s">
        <v>62</v>
      </c>
      <c r="D76" s="22">
        <f>E75+1</f>
        <v>46226</v>
      </c>
      <c r="E76" s="22">
        <f>D76+1</f>
        <v>46227</v>
      </c>
      <c r="F76" s="21">
        <f t="shared" si="3"/>
        <v>1</v>
      </c>
      <c r="G76" s="23">
        <v>0</v>
      </c>
    </row>
    <row r="77" spans="1:39" s="19" customFormat="1" x14ac:dyDescent="0.3">
      <c r="A77" s="15" t="s">
        <v>14</v>
      </c>
      <c r="B77" s="15"/>
      <c r="C77" s="14"/>
      <c r="D77" s="16"/>
      <c r="E77" s="16"/>
      <c r="F77" s="15">
        <f>SUM(F78)</f>
        <v>1</v>
      </c>
      <c r="G77" s="15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</row>
    <row r="78" spans="1:39" x14ac:dyDescent="0.3">
      <c r="A78" s="20" t="s">
        <v>14</v>
      </c>
      <c r="B78" s="21" t="s">
        <v>61</v>
      </c>
      <c r="C78" s="21" t="s">
        <v>62</v>
      </c>
      <c r="D78" s="22">
        <f>E76+1</f>
        <v>46228</v>
      </c>
      <c r="E78" s="22">
        <f>D78+1</f>
        <v>46229</v>
      </c>
      <c r="F78" s="21">
        <f t="shared" si="3"/>
        <v>1</v>
      </c>
      <c r="G78" s="23">
        <v>0</v>
      </c>
      <c r="H78" s="29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</row>
    <row r="83" spans="1:1" x14ac:dyDescent="0.3">
      <c r="A83" s="39"/>
    </row>
  </sheetData>
  <conditionalFormatting sqref="G2:G4">
    <cfRule type="dataBar" priority="11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{2B6C959D-DB97-4A6C-BC0A-90B3958A6010}</x14:id>
        </ext>
      </extLst>
    </cfRule>
  </conditionalFormatting>
  <conditionalFormatting sqref="G55:G59">
    <cfRule type="dataBar" priority="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{F6F5574D-4104-476F-951A-4E8C71D3C871}</x14:id>
        </ext>
      </extLst>
    </cfRule>
  </conditionalFormatting>
  <conditionalFormatting sqref="G61:G66">
    <cfRule type="dataBar" priority="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{B7250342-2E6E-4447-A8E7-C37EE81A991F}</x14:id>
        </ext>
      </extLst>
    </cfRule>
  </conditionalFormatting>
  <conditionalFormatting sqref="G68:G71">
    <cfRule type="dataBar" priority="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{7DB7ED38-A29F-48AA-907B-37267B68A83C}</x14:id>
        </ext>
      </extLst>
    </cfRule>
  </conditionalFormatting>
  <conditionalFormatting sqref="G73:G76">
    <cfRule type="dataBar" priority="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{BFDA0A59-F0C9-4957-984F-2327DEDE1E72}</x14:id>
        </ext>
      </extLst>
    </cfRule>
  </conditionalFormatting>
  <conditionalFormatting sqref="G78">
    <cfRule type="dataBar" priority="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{49FC120B-5A79-49A1-A7DC-269E34487814}</x14:id>
        </ext>
      </extLst>
    </cfRule>
  </conditionalFormatting>
  <conditionalFormatting sqref="G10:H20 G22:H24 G26:H29 G31:H33 G35:H38 G40:H42 G44:H47 G49:H53">
    <cfRule type="dataBar" priority="13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{5EFAE2B8-37C5-43F6-AE8F-7E62005AE56E}</x14:id>
        </ext>
      </extLst>
    </cfRule>
  </conditionalFormatting>
  <conditionalFormatting sqref="G54:H54">
    <cfRule type="dataBar" priority="11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{C6E1AFB2-F81E-49E7-A9B9-063B75129119}</x14:id>
        </ext>
      </extLst>
    </cfRule>
  </conditionalFormatting>
  <conditionalFormatting sqref="G60:H60">
    <cfRule type="dataBar" priority="1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{C5F188F8-29A0-4FBE-94D3-409D9DB8451E}</x14:id>
        </ext>
      </extLst>
    </cfRule>
  </conditionalFormatting>
  <conditionalFormatting sqref="G67:H67">
    <cfRule type="dataBar" priority="7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{60C035F6-99D5-4665-88F8-DC60699069FC}</x14:id>
        </ext>
      </extLst>
    </cfRule>
  </conditionalFormatting>
  <conditionalFormatting sqref="G72:H72">
    <cfRule type="dataBar" priority="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{D865BDE8-4554-4D78-B061-EBCF521CB4E4}</x14:id>
        </ext>
      </extLst>
    </cfRule>
  </conditionalFormatting>
  <conditionalFormatting sqref="G77:H77">
    <cfRule type="dataBar" priority="2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{47792F16-24F2-4A37-A4BB-B4A1FF5EECA3}</x14:id>
        </ext>
      </extLst>
    </cfRule>
  </conditionalFormatting>
  <conditionalFormatting sqref="H25 H34 H30 H21">
    <cfRule type="dataBar" priority="13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{D6BE49C0-A581-4DEE-98E5-6CDCBAA3B9CA}</x14:id>
        </ext>
      </extLst>
    </cfRule>
  </conditionalFormatting>
  <conditionalFormatting sqref="H39">
    <cfRule type="dataBar" priority="12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{D80B4F25-4834-41B8-84D1-B91728E04220}</x14:id>
        </ext>
      </extLst>
    </cfRule>
  </conditionalFormatting>
  <conditionalFormatting sqref="H43">
    <cfRule type="dataBar" priority="12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{41EDF6A7-9FD8-4A71-8B58-91607EA1A4A1}</x14:id>
        </ext>
      </extLst>
    </cfRule>
  </conditionalFormatting>
  <conditionalFormatting sqref="H48">
    <cfRule type="dataBar" priority="12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{448E6D4C-66B0-493A-9B89-960EEF070929}</x14:id>
        </ext>
      </extLst>
    </cfRule>
  </conditionalFormatting>
  <conditionalFormatting sqref="H55">
    <cfRule type="dataBar" priority="10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{31140722-03D3-4C0E-8BF7-0EC2EB778EB3}</x14:id>
        </ext>
      </extLst>
    </cfRule>
  </conditionalFormatting>
  <conditionalFormatting sqref="H56">
    <cfRule type="dataBar" priority="10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{C085E9BD-5DE2-4F81-A417-D41E5464DA3E}</x14:id>
        </ext>
      </extLst>
    </cfRule>
  </conditionalFormatting>
  <conditionalFormatting sqref="H57">
    <cfRule type="dataBar" priority="9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{78464791-AB76-4625-B175-7050C1AAECD8}</x14:id>
        </ext>
      </extLst>
    </cfRule>
  </conditionalFormatting>
  <conditionalFormatting sqref="H58">
    <cfRule type="dataBar" priority="9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{912A13C4-03B3-4923-804E-472682D084C5}</x14:id>
        </ext>
      </extLst>
    </cfRule>
  </conditionalFormatting>
  <conditionalFormatting sqref="H59">
    <cfRule type="dataBar" priority="8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{48305ABD-4511-453D-96C1-F0C252F7F3D6}</x14:id>
        </ext>
      </extLst>
    </cfRule>
  </conditionalFormatting>
  <conditionalFormatting sqref="H61:H66">
    <cfRule type="dataBar" priority="8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{8832266E-9F8F-4F7E-81D8-6B1B49ACAE84}</x14:id>
        </ext>
      </extLst>
    </cfRule>
  </conditionalFormatting>
  <conditionalFormatting sqref="H68">
    <cfRule type="dataBar" priority="6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{CF948E4F-EEA9-4032-AD42-43CF37DBCC06}</x14:id>
        </ext>
      </extLst>
    </cfRule>
  </conditionalFormatting>
  <conditionalFormatting sqref="H69">
    <cfRule type="dataBar" priority="6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{46BA74B0-76BA-4EFA-B9B3-D3F8E78971BE}</x14:id>
        </ext>
      </extLst>
    </cfRule>
  </conditionalFormatting>
  <conditionalFormatting sqref="H70">
    <cfRule type="dataBar" priority="6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{0DED51AA-CE8C-4F60-831E-1FD947BB20EA}</x14:id>
        </ext>
      </extLst>
    </cfRule>
  </conditionalFormatting>
  <conditionalFormatting sqref="H71">
    <cfRule type="dataBar" priority="5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{A7E8E422-7CFF-4B20-8FA0-56C7A78B5077}</x14:id>
        </ext>
      </extLst>
    </cfRule>
  </conditionalFormatting>
  <conditionalFormatting sqref="H73">
    <cfRule type="dataBar" priority="4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{602FF8EE-99CB-4AB1-AB18-8E020C0EF301}</x14:id>
        </ext>
      </extLst>
    </cfRule>
  </conditionalFormatting>
  <conditionalFormatting sqref="H74">
    <cfRule type="dataBar" priority="4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{C74B2193-7E00-4E6B-8045-E6B36060A0AE}</x14:id>
        </ext>
      </extLst>
    </cfRule>
  </conditionalFormatting>
  <conditionalFormatting sqref="H78">
    <cfRule type="dataBar" priority="1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{DC85C17C-4FB8-4BA1-97CB-C239405A0773}</x14:id>
        </ext>
      </extLst>
    </cfRule>
  </conditionalFormatting>
  <conditionalFormatting sqref="I10:AB20 I21:AM53 I54:AB54 I55:AM59 I60:AB60 I61:AM61 I67:AB67 I68:AM71 I72:AB72 I73:AM74 I77:AB77 I78:AM78">
    <cfRule type="expression" dxfId="15" priority="129">
      <formula>AND(J$8&gt;=$D10,J$8&lt;=$D10+($F10*$G10)-1)</formula>
    </cfRule>
    <cfRule type="expression" dxfId="14" priority="131">
      <formula>AND(J$8 &gt;= $D10,J$8 &lt;= $E10)</formula>
    </cfRule>
  </conditionalFormatting>
  <conditionalFormatting sqref="I8:AM61 I77:AM78">
    <cfRule type="expression" dxfId="13" priority="78">
      <formula>I$9=$C$5</formula>
    </cfRule>
  </conditionalFormatting>
  <conditionalFormatting sqref="I67:AM74">
    <cfRule type="expression" dxfId="12" priority="43">
      <formula>I$9=$C$5</formula>
    </cfRule>
  </conditionalFormatting>
  <conditionalFormatting sqref="AC10:AM20">
    <cfRule type="expression" dxfId="11" priority="122">
      <formula>AND(#REF!&gt;=$D10,#REF!&lt;=$D10+($F10*$G10)-1)</formula>
    </cfRule>
    <cfRule type="expression" dxfId="10" priority="123">
      <formula>AND(#REF! &gt;= $D10,#REF! &lt;= $E10)</formula>
    </cfRule>
  </conditionalFormatting>
  <conditionalFormatting sqref="AC54:AM54">
    <cfRule type="expression" dxfId="9" priority="111">
      <formula>AND(#REF!&gt;=$D54,#REF!&lt;=$D54+($F54*$G54)-1)</formula>
    </cfRule>
    <cfRule type="expression" dxfId="8" priority="112">
      <formula>AND(#REF! &gt;= $D54,#REF! &lt;= $E54)</formula>
    </cfRule>
  </conditionalFormatting>
  <conditionalFormatting sqref="AC60:AM60">
    <cfRule type="expression" dxfId="7" priority="9">
      <formula>AND(#REF!&gt;=$D60,#REF!&lt;=$D60+($F60*$G60)-1)</formula>
    </cfRule>
    <cfRule type="expression" dxfId="6" priority="10">
      <formula>AND(#REF! &gt;= $D60,#REF! &lt;= $E60)</formula>
    </cfRule>
  </conditionalFormatting>
  <conditionalFormatting sqref="AC67:AM67">
    <cfRule type="expression" dxfId="5" priority="73">
      <formula>AND(#REF! &gt;= $D67,#REF! &lt;= $E67)</formula>
    </cfRule>
    <cfRule type="expression" dxfId="4" priority="72">
      <formula>AND(#REF!&gt;=$D67,#REF!&lt;=$D67+($F67*$G67)-1)</formula>
    </cfRule>
  </conditionalFormatting>
  <conditionalFormatting sqref="AC72:AM72">
    <cfRule type="expression" dxfId="3" priority="7">
      <formula>AND(#REF! &gt;= $D72,#REF! &lt;= $E72)</formula>
    </cfRule>
    <cfRule type="expression" dxfId="2" priority="6">
      <formula>AND(#REF!&gt;=$D72,#REF!&lt;=$D72+($F72*$G72)-1)</formula>
    </cfRule>
  </conditionalFormatting>
  <conditionalFormatting sqref="AC77:AM77">
    <cfRule type="expression" dxfId="1" priority="19">
      <formula>AND(#REF!&gt;=$D77,#REF!&lt;=$D77+($F77*$G77)-1)</formula>
    </cfRule>
    <cfRule type="expression" dxfId="0" priority="20">
      <formula>AND(#REF! &gt;= $D77,#REF! &lt;= $E77)</formula>
    </cfRule>
  </conditionalFormatting>
  <pageMargins left="0.25" right="0.25" top="0.75" bottom="0.75" header="0.3" footer="0.3"/>
  <pageSetup paperSize="9" scale="58" fitToWidth="0"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6C959D-DB97-4A6C-BC0A-90B3958A60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G2:G4</xm:sqref>
        </x14:conditionalFormatting>
        <x14:conditionalFormatting xmlns:xm="http://schemas.microsoft.com/office/excel/2006/main">
          <x14:cfRule type="dataBar" id="{F6F5574D-4104-476F-951A-4E8C71D3C8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G55:G59</xm:sqref>
        </x14:conditionalFormatting>
        <x14:conditionalFormatting xmlns:xm="http://schemas.microsoft.com/office/excel/2006/main">
          <x14:cfRule type="dataBar" id="{B7250342-2E6E-4447-A8E7-C37EE81A9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G61:G66</xm:sqref>
        </x14:conditionalFormatting>
        <x14:conditionalFormatting xmlns:xm="http://schemas.microsoft.com/office/excel/2006/main">
          <x14:cfRule type="dataBar" id="{7DB7ED38-A29F-48AA-907B-37267B68A8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G68:G71</xm:sqref>
        </x14:conditionalFormatting>
        <x14:conditionalFormatting xmlns:xm="http://schemas.microsoft.com/office/excel/2006/main">
          <x14:cfRule type="dataBar" id="{BFDA0A59-F0C9-4957-984F-2327DEDE1E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G73:G76</xm:sqref>
        </x14:conditionalFormatting>
        <x14:conditionalFormatting xmlns:xm="http://schemas.microsoft.com/office/excel/2006/main">
          <x14:cfRule type="dataBar" id="{49FC120B-5A79-49A1-A7DC-269E344878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G78</xm:sqref>
        </x14:conditionalFormatting>
        <x14:conditionalFormatting xmlns:xm="http://schemas.microsoft.com/office/excel/2006/main">
          <x14:cfRule type="dataBar" id="{5EFAE2B8-37C5-43F6-AE8F-7E62005AE5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G10:H20 G22:H24 G26:H29 G31:H33 G35:H38 G40:H42 G44:H47 G49:H53</xm:sqref>
        </x14:conditionalFormatting>
        <x14:conditionalFormatting xmlns:xm="http://schemas.microsoft.com/office/excel/2006/main">
          <x14:cfRule type="dataBar" id="{C6E1AFB2-F81E-49E7-A9B9-063B751291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G54:H54</xm:sqref>
        </x14:conditionalFormatting>
        <x14:conditionalFormatting xmlns:xm="http://schemas.microsoft.com/office/excel/2006/main">
          <x14:cfRule type="dataBar" id="{C5F188F8-29A0-4FBE-94D3-409D9DB845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G60:H60</xm:sqref>
        </x14:conditionalFormatting>
        <x14:conditionalFormatting xmlns:xm="http://schemas.microsoft.com/office/excel/2006/main">
          <x14:cfRule type="dataBar" id="{60C035F6-99D5-4665-88F8-DC60699069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G67:H67</xm:sqref>
        </x14:conditionalFormatting>
        <x14:conditionalFormatting xmlns:xm="http://schemas.microsoft.com/office/excel/2006/main">
          <x14:cfRule type="dataBar" id="{D865BDE8-4554-4D78-B061-EBCF521CB4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G72:H72</xm:sqref>
        </x14:conditionalFormatting>
        <x14:conditionalFormatting xmlns:xm="http://schemas.microsoft.com/office/excel/2006/main">
          <x14:cfRule type="dataBar" id="{47792F16-24F2-4A37-A4BB-B4A1FF5EEC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G77:H77</xm:sqref>
        </x14:conditionalFormatting>
        <x14:conditionalFormatting xmlns:xm="http://schemas.microsoft.com/office/excel/2006/main">
          <x14:cfRule type="dataBar" id="{D6BE49C0-A581-4DEE-98E5-6CDCBAA3B9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H25 H34 H30 H21</xm:sqref>
        </x14:conditionalFormatting>
        <x14:conditionalFormatting xmlns:xm="http://schemas.microsoft.com/office/excel/2006/main">
          <x14:cfRule type="dataBar" id="{D80B4F25-4834-41B8-84D1-B91728E042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H39</xm:sqref>
        </x14:conditionalFormatting>
        <x14:conditionalFormatting xmlns:xm="http://schemas.microsoft.com/office/excel/2006/main">
          <x14:cfRule type="dataBar" id="{41EDF6A7-9FD8-4A71-8B58-91607EA1A4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448E6D4C-66B0-493A-9B89-960EEF0709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H48</xm:sqref>
        </x14:conditionalFormatting>
        <x14:conditionalFormatting xmlns:xm="http://schemas.microsoft.com/office/excel/2006/main">
          <x14:cfRule type="dataBar" id="{31140722-03D3-4C0E-8BF7-0EC2EB778E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H55</xm:sqref>
        </x14:conditionalFormatting>
        <x14:conditionalFormatting xmlns:xm="http://schemas.microsoft.com/office/excel/2006/main">
          <x14:cfRule type="dataBar" id="{C085E9BD-5DE2-4F81-A417-D41E5464DA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H56</xm:sqref>
        </x14:conditionalFormatting>
        <x14:conditionalFormatting xmlns:xm="http://schemas.microsoft.com/office/excel/2006/main">
          <x14:cfRule type="dataBar" id="{78464791-AB76-4625-B175-7050C1AAEC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H57</xm:sqref>
        </x14:conditionalFormatting>
        <x14:conditionalFormatting xmlns:xm="http://schemas.microsoft.com/office/excel/2006/main">
          <x14:cfRule type="dataBar" id="{912A13C4-03B3-4923-804E-472682D084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H58</xm:sqref>
        </x14:conditionalFormatting>
        <x14:conditionalFormatting xmlns:xm="http://schemas.microsoft.com/office/excel/2006/main">
          <x14:cfRule type="dataBar" id="{48305ABD-4511-453D-96C1-F0C252F7F3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H59</xm:sqref>
        </x14:conditionalFormatting>
        <x14:conditionalFormatting xmlns:xm="http://schemas.microsoft.com/office/excel/2006/main">
          <x14:cfRule type="dataBar" id="{8832266E-9F8F-4F7E-81D8-6B1B49ACAE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H61:H66</xm:sqref>
        </x14:conditionalFormatting>
        <x14:conditionalFormatting xmlns:xm="http://schemas.microsoft.com/office/excel/2006/main">
          <x14:cfRule type="dataBar" id="{CF948E4F-EEA9-4032-AD42-43CF37DBCC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46BA74B0-76BA-4EFA-B9B3-D3F8E78971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H69</xm:sqref>
        </x14:conditionalFormatting>
        <x14:conditionalFormatting xmlns:xm="http://schemas.microsoft.com/office/excel/2006/main">
          <x14:cfRule type="dataBar" id="{0DED51AA-CE8C-4F60-831E-1FD947BB20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A7E8E422-7CFF-4B20-8FA0-56C7A78B50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602FF8EE-99CB-4AB1-AB18-8E020C0EF3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C74B2193-7E00-4E6B-8045-E6B36060A0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H74</xm:sqref>
        </x14:conditionalFormatting>
        <x14:conditionalFormatting xmlns:xm="http://schemas.microsoft.com/office/excel/2006/main">
          <x14:cfRule type="dataBar" id="{DC85C17C-4FB8-4BA1-97CB-C239405A07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1EE9-3E6D-4BC1-B5FF-E9C39F3D6D86}">
  <dimension ref="A9"/>
  <sheetViews>
    <sheetView workbookViewId="0">
      <selection sqref="A1:J8"/>
    </sheetView>
  </sheetViews>
  <sheetFormatPr defaultRowHeight="14.4" x14ac:dyDescent="0.3"/>
  <cols>
    <col min="1" max="1" width="42.109375" customWidth="1"/>
    <col min="2" max="2" width="62.6640625" customWidth="1"/>
    <col min="3" max="3" width="38.6640625" customWidth="1"/>
    <col min="4" max="4" width="11.88671875" bestFit="1" customWidth="1"/>
    <col min="5" max="5" width="11.6640625" bestFit="1" customWidth="1"/>
    <col min="6" max="6" width="12.33203125" bestFit="1" customWidth="1"/>
    <col min="7" max="7" width="8.6640625" bestFit="1" customWidth="1"/>
    <col min="8" max="8" width="4.33203125" bestFit="1" customWidth="1"/>
    <col min="10" max="10" width="19.6640625" bestFit="1" customWidth="1"/>
  </cols>
  <sheetData>
    <row r="9" spans="1:1" x14ac:dyDescent="0.3">
      <c r="A9" t="s">
        <v>15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0DB8-D447-4C52-834C-52C7656CE9BC}">
  <dimension ref="A1:I45"/>
  <sheetViews>
    <sheetView topLeftCell="B24" workbookViewId="0">
      <selection activeCell="B39" sqref="B39"/>
    </sheetView>
  </sheetViews>
  <sheetFormatPr defaultRowHeight="14.4" x14ac:dyDescent="0.3"/>
  <cols>
    <col min="1" max="1" width="3.33203125" style="32" bestFit="1" customWidth="1"/>
    <col min="2" max="2" width="86.109375" bestFit="1" customWidth="1"/>
    <col min="3" max="3" width="11" bestFit="1" customWidth="1"/>
    <col min="4" max="4" width="12.88671875" bestFit="1" customWidth="1"/>
    <col min="5" max="5" width="15" bestFit="1" customWidth="1"/>
    <col min="6" max="6" width="13.88671875" customWidth="1"/>
    <col min="7" max="7" width="19.33203125" bestFit="1" customWidth="1"/>
    <col min="8" max="8" width="14.6640625" style="37" bestFit="1" customWidth="1"/>
    <col min="9" max="9" width="45.33203125" bestFit="1" customWidth="1"/>
  </cols>
  <sheetData>
    <row r="1" spans="1:9" s="33" customFormat="1" x14ac:dyDescent="0.3">
      <c r="A1" s="34" t="s">
        <v>16</v>
      </c>
      <c r="B1" s="35" t="s">
        <v>17</v>
      </c>
      <c r="C1" s="35" t="s">
        <v>18</v>
      </c>
      <c r="D1" s="35" t="s">
        <v>19</v>
      </c>
      <c r="E1" s="35" t="s">
        <v>20</v>
      </c>
      <c r="F1" s="35" t="s">
        <v>21</v>
      </c>
      <c r="G1" s="35" t="s">
        <v>22</v>
      </c>
      <c r="H1" s="36" t="s">
        <v>23</v>
      </c>
      <c r="I1" s="35" t="s">
        <v>24</v>
      </c>
    </row>
    <row r="2" spans="1:9" x14ac:dyDescent="0.3">
      <c r="A2" s="60"/>
      <c r="B2" s="61"/>
      <c r="C2" s="61"/>
      <c r="D2" s="61"/>
      <c r="E2" s="61"/>
      <c r="F2" s="65"/>
      <c r="G2" s="66"/>
      <c r="H2" s="62"/>
      <c r="I2" s="61"/>
    </row>
    <row r="3" spans="1:9" x14ac:dyDescent="0.3">
      <c r="A3" s="60"/>
      <c r="B3" s="61"/>
      <c r="C3" s="61"/>
      <c r="D3" s="61"/>
      <c r="E3" s="61"/>
      <c r="F3" s="65"/>
      <c r="G3" s="66"/>
      <c r="H3" s="62"/>
      <c r="I3" s="61"/>
    </row>
    <row r="4" spans="1:9" x14ac:dyDescent="0.3">
      <c r="A4" s="60"/>
      <c r="B4" s="61"/>
      <c r="C4" s="61"/>
      <c r="D4" s="61"/>
      <c r="E4" s="61"/>
      <c r="F4" s="65"/>
      <c r="G4" s="66"/>
      <c r="H4" s="62"/>
      <c r="I4" s="61"/>
    </row>
    <row r="5" spans="1:9" x14ac:dyDescent="0.3">
      <c r="A5" s="60"/>
      <c r="B5" s="61"/>
      <c r="C5" s="61"/>
      <c r="D5" s="61"/>
      <c r="E5" s="61"/>
      <c r="F5" s="65"/>
      <c r="G5" s="66"/>
      <c r="H5" s="62"/>
      <c r="I5" s="61"/>
    </row>
    <row r="6" spans="1:9" x14ac:dyDescent="0.3">
      <c r="A6" s="60"/>
      <c r="B6" s="61"/>
      <c r="C6" s="61"/>
      <c r="D6" s="61"/>
      <c r="E6" s="61"/>
      <c r="F6" s="65"/>
      <c r="G6" s="66"/>
      <c r="H6" s="62"/>
      <c r="I6" s="61"/>
    </row>
    <row r="7" spans="1:9" x14ac:dyDescent="0.3">
      <c r="A7" s="60"/>
      <c r="B7" s="61"/>
      <c r="C7" s="61"/>
      <c r="D7" s="61"/>
      <c r="E7" s="61"/>
      <c r="F7" s="65"/>
      <c r="G7" s="66"/>
      <c r="H7" s="62"/>
      <c r="I7" s="61"/>
    </row>
    <row r="8" spans="1:9" x14ac:dyDescent="0.3">
      <c r="A8" s="60"/>
      <c r="B8" s="61"/>
      <c r="C8" s="61"/>
      <c r="D8" s="61"/>
      <c r="E8" s="61"/>
      <c r="F8" s="65"/>
      <c r="G8" s="66"/>
      <c r="H8" s="63"/>
      <c r="I8" s="61"/>
    </row>
    <row r="9" spans="1:9" x14ac:dyDescent="0.3">
      <c r="A9" s="60"/>
      <c r="B9" s="61"/>
      <c r="C9" s="61"/>
      <c r="D9" s="61"/>
      <c r="E9" s="61"/>
      <c r="F9" s="65"/>
      <c r="G9" s="66"/>
      <c r="H9" s="63"/>
      <c r="I9" s="61"/>
    </row>
    <row r="10" spans="1:9" x14ac:dyDescent="0.3">
      <c r="A10" s="60"/>
      <c r="B10" s="61"/>
      <c r="C10" s="61"/>
      <c r="D10" s="61"/>
      <c r="E10" s="61"/>
      <c r="F10" s="65"/>
      <c r="G10" s="66"/>
      <c r="H10" s="62"/>
      <c r="I10" s="61"/>
    </row>
    <row r="11" spans="1:9" s="38" customFormat="1" x14ac:dyDescent="0.3">
      <c r="A11" s="60"/>
      <c r="B11" s="61"/>
      <c r="C11" s="61"/>
      <c r="D11" s="61"/>
      <c r="E11" s="61"/>
      <c r="F11" s="65"/>
      <c r="G11" s="66"/>
      <c r="H11" s="62"/>
      <c r="I11" s="61"/>
    </row>
    <row r="12" spans="1:9" x14ac:dyDescent="0.3">
      <c r="A12" s="60"/>
      <c r="B12" s="61"/>
      <c r="C12" s="61"/>
      <c r="D12" s="61"/>
      <c r="E12" s="61"/>
      <c r="F12" s="65"/>
      <c r="G12" s="66"/>
      <c r="H12" s="63"/>
      <c r="I12" s="61"/>
    </row>
    <row r="13" spans="1:9" x14ac:dyDescent="0.3">
      <c r="A13" s="60"/>
      <c r="B13" s="61"/>
      <c r="C13" s="61"/>
      <c r="D13" s="61"/>
      <c r="E13" s="61"/>
      <c r="F13" s="65"/>
      <c r="G13" s="66"/>
      <c r="H13" s="63"/>
      <c r="I13" s="61"/>
    </row>
    <row r="14" spans="1:9" x14ac:dyDescent="0.3">
      <c r="A14" s="60"/>
      <c r="B14" s="61"/>
      <c r="C14" s="61"/>
      <c r="D14" s="61"/>
      <c r="E14" s="61"/>
      <c r="F14" s="65"/>
      <c r="G14" s="66"/>
      <c r="H14" s="63"/>
      <c r="I14" s="61"/>
    </row>
    <row r="15" spans="1:9" x14ac:dyDescent="0.3">
      <c r="A15" s="60"/>
      <c r="B15" s="61"/>
      <c r="C15" s="61"/>
      <c r="D15" s="61"/>
      <c r="E15" s="61"/>
      <c r="F15" s="65"/>
      <c r="G15" s="66"/>
      <c r="H15" s="63"/>
      <c r="I15" s="61"/>
    </row>
    <row r="16" spans="1:9" x14ac:dyDescent="0.3">
      <c r="A16" s="60"/>
      <c r="B16" s="61"/>
      <c r="C16" s="61"/>
      <c r="D16" s="61"/>
      <c r="E16" s="61"/>
      <c r="F16" s="65"/>
      <c r="G16" s="66"/>
      <c r="H16" s="63"/>
      <c r="I16" s="61"/>
    </row>
    <row r="17" spans="1:9" x14ac:dyDescent="0.3">
      <c r="A17" s="60"/>
      <c r="B17" s="61"/>
      <c r="C17" s="61"/>
      <c r="D17" s="61"/>
      <c r="E17" s="61"/>
      <c r="F17" s="65"/>
      <c r="G17" s="66"/>
      <c r="H17" s="62"/>
      <c r="I17" s="61"/>
    </row>
    <row r="18" spans="1:9" x14ac:dyDescent="0.3">
      <c r="A18" s="60"/>
      <c r="B18" s="61"/>
      <c r="C18" s="61"/>
      <c r="D18" s="61"/>
      <c r="E18" s="61"/>
      <c r="F18" s="65"/>
      <c r="G18" s="66"/>
      <c r="H18" s="62"/>
      <c r="I18" s="61"/>
    </row>
    <row r="19" spans="1:9" x14ac:dyDescent="0.3">
      <c r="A19" s="60"/>
      <c r="B19" s="61"/>
      <c r="C19" s="61"/>
      <c r="D19" s="61"/>
      <c r="E19" s="61"/>
      <c r="F19" s="65"/>
      <c r="G19" s="66"/>
      <c r="H19" s="62"/>
      <c r="I19" s="61"/>
    </row>
    <row r="20" spans="1:9" x14ac:dyDescent="0.3">
      <c r="A20" s="60"/>
      <c r="B20" s="61"/>
      <c r="C20" s="61"/>
      <c r="D20" s="61"/>
      <c r="E20" s="61"/>
      <c r="F20" s="65"/>
      <c r="G20" s="66"/>
      <c r="H20" s="62"/>
      <c r="I20" s="61"/>
    </row>
    <row r="21" spans="1:9" x14ac:dyDescent="0.3">
      <c r="A21" s="60"/>
      <c r="B21" s="61"/>
      <c r="C21" s="61"/>
      <c r="D21" s="61"/>
      <c r="E21" s="61"/>
      <c r="F21" s="65"/>
      <c r="G21" s="66"/>
      <c r="H21" s="63"/>
      <c r="I21" s="61"/>
    </row>
    <row r="22" spans="1:9" x14ac:dyDescent="0.3">
      <c r="A22" s="60"/>
      <c r="B22" s="61"/>
      <c r="C22" s="61"/>
      <c r="D22" s="61"/>
      <c r="E22" s="61"/>
      <c r="F22" s="65"/>
      <c r="G22" s="66"/>
      <c r="H22" s="62"/>
      <c r="I22" s="61"/>
    </row>
    <row r="23" spans="1:9" x14ac:dyDescent="0.3">
      <c r="A23" s="60"/>
      <c r="B23" s="61"/>
      <c r="C23" s="61"/>
      <c r="D23" s="64"/>
      <c r="E23" s="61"/>
      <c r="F23" s="65"/>
      <c r="G23" s="66"/>
      <c r="H23" s="62"/>
      <c r="I23" s="61"/>
    </row>
    <row r="24" spans="1:9" x14ac:dyDescent="0.3">
      <c r="A24" s="60"/>
      <c r="B24" s="61"/>
      <c r="C24" s="61"/>
      <c r="D24" s="64"/>
      <c r="E24" s="61"/>
      <c r="F24" s="65"/>
      <c r="G24" s="66"/>
      <c r="H24" s="62"/>
      <c r="I24" s="61"/>
    </row>
    <row r="25" spans="1:9" x14ac:dyDescent="0.3">
      <c r="A25" s="60"/>
      <c r="B25" s="61"/>
      <c r="C25" s="61"/>
      <c r="D25" s="64"/>
      <c r="E25" s="61"/>
      <c r="F25" s="65"/>
      <c r="G25" s="66"/>
      <c r="H25" s="62"/>
      <c r="I25" s="61"/>
    </row>
    <row r="26" spans="1:9" x14ac:dyDescent="0.3">
      <c r="A26" s="60"/>
      <c r="B26" s="61"/>
      <c r="C26" s="61"/>
      <c r="D26" s="64"/>
      <c r="E26" s="61"/>
      <c r="F26" s="65"/>
      <c r="G26" s="66"/>
      <c r="H26" s="62"/>
      <c r="I26" s="61"/>
    </row>
    <row r="27" spans="1:9" x14ac:dyDescent="0.3">
      <c r="A27" s="60"/>
      <c r="B27" s="61"/>
      <c r="C27" s="61"/>
      <c r="D27" s="64"/>
      <c r="E27" s="61"/>
      <c r="F27" s="65"/>
      <c r="G27" s="66"/>
      <c r="H27" s="62"/>
      <c r="I27" s="61"/>
    </row>
    <row r="28" spans="1:9" x14ac:dyDescent="0.3">
      <c r="A28" s="60"/>
      <c r="B28" s="61"/>
      <c r="C28" s="61"/>
      <c r="D28" s="64"/>
      <c r="E28" s="61"/>
      <c r="F28" s="65"/>
      <c r="G28" s="66"/>
      <c r="H28" s="62"/>
      <c r="I28" s="61"/>
    </row>
    <row r="29" spans="1:9" x14ac:dyDescent="0.3">
      <c r="A29" s="60"/>
      <c r="B29" s="61"/>
      <c r="C29" s="61"/>
      <c r="D29" s="64"/>
      <c r="E29" s="61"/>
      <c r="F29" s="65"/>
      <c r="G29" s="66"/>
      <c r="H29" s="62"/>
      <c r="I29" s="61"/>
    </row>
    <row r="30" spans="1:9" x14ac:dyDescent="0.3">
      <c r="A30" s="60"/>
      <c r="B30" s="61"/>
      <c r="C30" s="61"/>
      <c r="D30" s="64"/>
      <c r="E30" s="61"/>
      <c r="F30" s="65"/>
      <c r="G30" s="66"/>
      <c r="H30" s="62"/>
      <c r="I30" s="61"/>
    </row>
    <row r="31" spans="1:9" x14ac:dyDescent="0.3">
      <c r="A31" s="60"/>
      <c r="B31" s="61"/>
      <c r="C31" s="61"/>
      <c r="D31" s="64"/>
      <c r="E31" s="61"/>
      <c r="F31" s="65"/>
      <c r="G31" s="66"/>
      <c r="H31" s="62"/>
      <c r="I31" s="61"/>
    </row>
    <row r="32" spans="1:9" x14ac:dyDescent="0.3">
      <c r="A32" s="60"/>
      <c r="B32" s="61"/>
      <c r="C32" s="61"/>
      <c r="D32" s="64"/>
      <c r="E32" s="61"/>
      <c r="F32" s="65"/>
      <c r="G32" s="66"/>
      <c r="H32" s="62"/>
      <c r="I32" s="61"/>
    </row>
    <row r="33" spans="1:9" x14ac:dyDescent="0.3">
      <c r="A33" s="60"/>
      <c r="B33" s="61"/>
      <c r="C33" s="61"/>
      <c r="D33" s="64"/>
      <c r="E33" s="61"/>
      <c r="F33" s="65"/>
      <c r="G33" s="66"/>
      <c r="H33" s="62"/>
      <c r="I33" s="61"/>
    </row>
    <row r="34" spans="1:9" x14ac:dyDescent="0.3">
      <c r="A34" s="60"/>
      <c r="B34" s="61"/>
      <c r="C34" s="61"/>
      <c r="D34" s="64"/>
      <c r="E34" s="61"/>
      <c r="F34" s="65"/>
      <c r="G34" s="66"/>
      <c r="H34" s="62"/>
      <c r="I34" s="61"/>
    </row>
    <row r="35" spans="1:9" x14ac:dyDescent="0.3">
      <c r="A35" s="60"/>
      <c r="B35" s="61"/>
      <c r="C35" s="61"/>
      <c r="D35" s="64"/>
      <c r="E35" s="61"/>
      <c r="F35" s="65"/>
      <c r="G35" s="66"/>
      <c r="H35" s="62"/>
      <c r="I35" s="61"/>
    </row>
    <row r="36" spans="1:9" x14ac:dyDescent="0.3">
      <c r="A36" s="60"/>
      <c r="B36" s="61"/>
      <c r="C36" s="61"/>
      <c r="D36" s="64"/>
      <c r="E36" s="61"/>
      <c r="F36" s="65"/>
      <c r="G36" s="66"/>
      <c r="H36" s="62"/>
      <c r="I36" s="61"/>
    </row>
    <row r="37" spans="1:9" x14ac:dyDescent="0.3">
      <c r="A37" s="60"/>
      <c r="B37" s="61"/>
      <c r="C37" s="61"/>
      <c r="D37" s="64"/>
      <c r="E37" s="61"/>
      <c r="F37" s="65"/>
      <c r="G37" s="66"/>
      <c r="H37" s="62"/>
      <c r="I37" s="61"/>
    </row>
    <row r="38" spans="1:9" x14ac:dyDescent="0.3">
      <c r="A38" s="60"/>
      <c r="B38" s="61"/>
      <c r="C38" s="61"/>
      <c r="D38" s="64"/>
      <c r="E38" s="61"/>
      <c r="F38" s="65"/>
      <c r="G38" s="66"/>
      <c r="H38" s="62"/>
      <c r="I38" s="61"/>
    </row>
    <row r="39" spans="1:9" x14ac:dyDescent="0.3">
      <c r="A39" s="60"/>
      <c r="B39" s="61"/>
      <c r="C39" s="61"/>
      <c r="D39" s="64"/>
      <c r="E39" s="61"/>
      <c r="F39" s="65"/>
      <c r="G39" s="66"/>
      <c r="H39" s="62"/>
      <c r="I39" s="61"/>
    </row>
    <row r="40" spans="1:9" x14ac:dyDescent="0.3">
      <c r="A40" s="60"/>
      <c r="B40" s="61"/>
      <c r="C40" s="61"/>
      <c r="D40" s="64"/>
      <c r="E40" s="61"/>
      <c r="F40" s="65"/>
      <c r="G40" s="66"/>
      <c r="H40" s="62"/>
      <c r="I40" s="61"/>
    </row>
    <row r="41" spans="1:9" x14ac:dyDescent="0.3">
      <c r="A41" s="60"/>
      <c r="B41" s="61"/>
      <c r="C41" s="61"/>
      <c r="D41" s="64"/>
      <c r="E41" s="61"/>
      <c r="F41" s="65"/>
      <c r="G41" s="66"/>
      <c r="H41" s="62"/>
      <c r="I41" s="61"/>
    </row>
    <row r="42" spans="1:9" x14ac:dyDescent="0.3">
      <c r="A42" s="60"/>
      <c r="B42" s="61"/>
      <c r="C42" s="61"/>
      <c r="D42" s="64"/>
      <c r="E42" s="61"/>
      <c r="F42" s="65"/>
      <c r="G42" s="66"/>
      <c r="H42" s="62"/>
      <c r="I42" s="61"/>
    </row>
    <row r="43" spans="1:9" x14ac:dyDescent="0.3">
      <c r="B43" s="45"/>
    </row>
    <row r="44" spans="1:9" x14ac:dyDescent="0.3">
      <c r="B44" s="45"/>
    </row>
    <row r="45" spans="1:9" x14ac:dyDescent="0.3">
      <c r="B45" s="45"/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92EB-7137-412F-8B16-33439EC847F4}">
  <dimension ref="A1:J5"/>
  <sheetViews>
    <sheetView workbookViewId="0">
      <selection activeCell="G4" sqref="G4"/>
    </sheetView>
  </sheetViews>
  <sheetFormatPr defaultColWidth="24.5546875" defaultRowHeight="36.6" customHeight="1" x14ac:dyDescent="0.3"/>
  <cols>
    <col min="1" max="1" width="5.33203125" customWidth="1"/>
  </cols>
  <sheetData>
    <row r="1" spans="1:10" ht="16.2" customHeight="1" thickBot="1" x14ac:dyDescent="0.35">
      <c r="A1" s="40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</row>
    <row r="2" spans="1:10" ht="42.6" customHeight="1" thickBot="1" x14ac:dyDescent="0.35">
      <c r="A2" s="42">
        <v>1</v>
      </c>
      <c r="B2" s="43" t="s">
        <v>38</v>
      </c>
      <c r="C2" s="44" t="s">
        <v>25</v>
      </c>
      <c r="D2" s="44" t="s">
        <v>25</v>
      </c>
      <c r="E2" s="44" t="s">
        <v>25</v>
      </c>
      <c r="F2" s="44" t="s">
        <v>39</v>
      </c>
      <c r="G2" s="44" t="s">
        <v>40</v>
      </c>
      <c r="H2" s="44" t="s">
        <v>41</v>
      </c>
      <c r="I2" s="44" t="s">
        <v>42</v>
      </c>
      <c r="J2" s="44" t="s">
        <v>43</v>
      </c>
    </row>
    <row r="3" spans="1:10" ht="44.4" customHeight="1" thickBot="1" x14ac:dyDescent="0.35">
      <c r="A3" s="42">
        <v>2</v>
      </c>
      <c r="B3" s="43" t="s">
        <v>44</v>
      </c>
      <c r="C3" s="44" t="s">
        <v>25</v>
      </c>
      <c r="D3" s="44" t="s">
        <v>25</v>
      </c>
      <c r="E3" s="44" t="s">
        <v>25</v>
      </c>
      <c r="F3" s="44" t="s">
        <v>45</v>
      </c>
      <c r="G3" s="44" t="s">
        <v>46</v>
      </c>
      <c r="H3" s="44" t="s">
        <v>47</v>
      </c>
      <c r="I3" s="44" t="s">
        <v>48</v>
      </c>
      <c r="J3" s="44" t="s">
        <v>49</v>
      </c>
    </row>
    <row r="4" spans="1:10" ht="56.4" customHeight="1" thickBot="1" x14ac:dyDescent="0.35">
      <c r="A4" s="42">
        <v>3</v>
      </c>
      <c r="B4" s="43" t="s">
        <v>50</v>
      </c>
      <c r="C4" s="44" t="s">
        <v>25</v>
      </c>
      <c r="D4" s="44" t="s">
        <v>25</v>
      </c>
      <c r="E4" s="44" t="s">
        <v>25</v>
      </c>
      <c r="F4" s="44" t="s">
        <v>51</v>
      </c>
      <c r="G4" s="44" t="s">
        <v>52</v>
      </c>
      <c r="H4" s="44" t="s">
        <v>53</v>
      </c>
      <c r="I4" s="44" t="s">
        <v>54</v>
      </c>
      <c r="J4" s="44" t="s">
        <v>55</v>
      </c>
    </row>
    <row r="5" spans="1:10" ht="70.95" customHeight="1" thickBot="1" x14ac:dyDescent="0.35">
      <c r="A5" s="42">
        <v>4</v>
      </c>
      <c r="B5" s="43" t="s">
        <v>56</v>
      </c>
      <c r="C5" s="44" t="s">
        <v>26</v>
      </c>
      <c r="D5" s="44" t="s">
        <v>25</v>
      </c>
      <c r="E5" s="44" t="s">
        <v>27</v>
      </c>
      <c r="F5" s="44" t="s">
        <v>39</v>
      </c>
      <c r="G5" s="44" t="s">
        <v>57</v>
      </c>
      <c r="H5" s="44" t="s">
        <v>58</v>
      </c>
      <c r="I5" s="44" t="s">
        <v>59</v>
      </c>
      <c r="J5" s="44" t="s">
        <v>60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ccc463-1517-401d-bd35-7be4da209f2c" xsi:nil="true"/>
    <lcf76f155ced4ddcb4097134ff3c332f xmlns="16e39d76-e192-484b-909e-46033c7d7034">
      <Terms xmlns="http://schemas.microsoft.com/office/infopath/2007/PartnerControls"/>
    </lcf76f155ced4ddcb4097134ff3c332f>
    <Remarks xmlns="16e39d76-e192-484b-909e-46033c7d70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9943A8D28273489D94F9B67A325E5B" ma:contentTypeVersion="15" ma:contentTypeDescription="Create a new document." ma:contentTypeScope="" ma:versionID="4271c5f10daee4c0698db44fb284b90e">
  <xsd:schema xmlns:xsd="http://www.w3.org/2001/XMLSchema" xmlns:xs="http://www.w3.org/2001/XMLSchema" xmlns:p="http://schemas.microsoft.com/office/2006/metadata/properties" xmlns:ns2="16e39d76-e192-484b-909e-46033c7d7034" xmlns:ns3="ddccc463-1517-401d-bd35-7be4da209f2c" targetNamespace="http://schemas.microsoft.com/office/2006/metadata/properties" ma:root="true" ma:fieldsID="0df087e6dccf298288d874cac4eaef8b" ns2:_="" ns3:_="">
    <xsd:import namespace="16e39d76-e192-484b-909e-46033c7d7034"/>
    <xsd:import namespace="ddccc463-1517-401d-bd35-7be4da209f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Remark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e39d76-e192-484b-909e-46033c7d7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58c0ed4-874f-477e-9532-08b1e01d0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marks" ma:index="21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cc463-1517-401d-bd35-7be4da209f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636f6d-9718-43df-af87-31df2f89e86a}" ma:internalName="TaxCatchAll" ma:showField="CatchAllData" ma:web="ddccc463-1517-401d-bd35-7be4da209f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532BDD-9576-4462-BF11-F02EFFECEF93}">
  <ds:schemaRefs>
    <ds:schemaRef ds:uri="16e39d76-e192-484b-909e-46033c7d7034"/>
    <ds:schemaRef ds:uri="http://schemas.microsoft.com/office/2006/metadata/properties"/>
    <ds:schemaRef ds:uri="http://schemas.microsoft.com/office/2006/documentManagement/types"/>
    <ds:schemaRef ds:uri="http://purl.org/dc/dcmitype/"/>
    <ds:schemaRef ds:uri="ddccc463-1517-401d-bd35-7be4da209f2c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74CD450-099C-48B8-9572-376D3D816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42942-19F0-4DCD-9493-7F12AA55C0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e39d76-e192-484b-909e-46033c7d7034"/>
    <ds:schemaRef ds:uri="ddccc463-1517-401d-bd35-7be4da209f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SIS Project Monitoring</vt:lpstr>
      <vt:lpstr>Backlogs</vt:lpstr>
      <vt:lpstr>User Logs</vt:lpstr>
      <vt:lpstr>Risk Register</vt:lpstr>
      <vt:lpstr>'SIS Project Monitoring'!Print_Area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Rustom G. Villanueva</dc:creator>
  <cp:keywords/>
  <dc:description/>
  <cp:lastModifiedBy>Jorge Rustom G. Villanueva</cp:lastModifiedBy>
  <cp:revision/>
  <cp:lastPrinted>2026-03-11T02:43:48Z</cp:lastPrinted>
  <dcterms:created xsi:type="dcterms:W3CDTF">2024-10-14T06:39:49Z</dcterms:created>
  <dcterms:modified xsi:type="dcterms:W3CDTF">2026-03-11T07:00:35Z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0x010100B79943A8D28273489D94F9B67A325E5B</vt:lpwstr>
  </property>
  <property fmtid="{D5CDD505-2E9C-101B-9397-08002B2CF9AE}" pid="3" name="MediaServiceImageTags">
    <vt:lpwstr/>
  </property>
</Properties>
</file>